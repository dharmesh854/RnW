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359795498f707b84/Documents/"/>
    </mc:Choice>
  </mc:AlternateContent>
  <xr:revisionPtr revIDLastSave="842" documentId="8_{D78F9D94-A9A9-45D5-8580-A57FF80B7175}" xr6:coauthVersionLast="47" xr6:coauthVersionMax="47" xr10:uidLastSave="{39C94B2E-6491-4D1D-B0E1-BAD997E4BFEC}"/>
  <bookViews>
    <workbookView xWindow="-108" yWindow="-108" windowWidth="23256" windowHeight="13176" xr2:uid="{D9B11098-4CF4-4CD7-9671-F5CC1C3EBA9E}"/>
  </bookViews>
  <sheets>
    <sheet name="Sample - Superstore" sheetId="1" r:id="rId1"/>
    <sheet name="DASHBOARD" sheetId="7" r:id="rId2"/>
    <sheet name="Charts 1" sheetId="2" r:id="rId3"/>
    <sheet name="Sales Per Customer" sheetId="4" r:id="rId4"/>
    <sheet name="Monthly Sales" sheetId="3" r:id="rId5"/>
    <sheet name="Regression" sheetId="6" r:id="rId6"/>
    <sheet name="Documentation" sheetId="8" r:id="rId7"/>
  </sheets>
  <definedNames>
    <definedName name="NativeTimeline_Order_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AC9" i="1"/>
  <c r="AC5" i="1"/>
  <c r="AC7" i="1"/>
  <c r="AC8" i="1"/>
  <c r="AC6" i="1"/>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2" i="1"/>
  <c r="W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alcChain>
</file>

<file path=xl/sharedStrings.xml><?xml version="1.0" encoding="utf-8"?>
<sst xmlns="http://schemas.openxmlformats.org/spreadsheetml/2006/main" count="3840" uniqueCount="891">
  <si>
    <t>Row ID</t>
  </si>
  <si>
    <t>Order ID</t>
  </si>
  <si>
    <t>Order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</si>
  <si>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</si>
  <si>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</si>
  <si>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</si>
  <si>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</si>
  <si>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</si>
  <si>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</si>
  <si>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</si>
  <si>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</si>
  <si>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</si>
  <si>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</si>
  <si>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</si>
  <si>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</si>
  <si>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</si>
  <si>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</si>
  <si>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</si>
  <si>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</si>
  <si>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</si>
  <si>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</si>
  <si>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</si>
  <si>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</si>
  <si>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</si>
  <si>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</si>
  <si>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</si>
  <si>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</si>
  <si>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</si>
  <si>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</si>
  <si>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</si>
  <si>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</si>
  <si>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</si>
  <si>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</si>
  <si>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</si>
  <si>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</si>
  <si>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</si>
  <si>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</si>
  <si>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</si>
  <si>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</si>
  <si>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</si>
  <si>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</si>
  <si>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</si>
  <si>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</si>
  <si>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</si>
  <si>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</si>
  <si>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</si>
  <si>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</si>
  <si>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</si>
  <si>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</si>
  <si>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</si>
  <si>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</si>
  <si>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</si>
  <si>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</si>
  <si>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</si>
  <si>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</si>
  <si>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</si>
  <si>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</si>
  <si>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</si>
  <si>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</si>
  <si>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</si>
  <si>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</si>
  <si>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</si>
  <si>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</si>
  <si>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</si>
  <si>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</si>
  <si>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</si>
  <si>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</si>
  <si>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</si>
  <si>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</si>
  <si>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</si>
  <si>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</si>
  <si>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</si>
  <si>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</si>
  <si>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</si>
  <si>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</si>
  <si>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</si>
  <si>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</si>
  <si>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</si>
  <si>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</si>
  <si>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</si>
  <si>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</si>
  <si>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</si>
  <si>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</si>
  <si>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</si>
  <si>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</si>
  <si>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</si>
  <si>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</si>
  <si>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</si>
  <si>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</si>
  <si>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</si>
  <si>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</si>
  <si>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</si>
  <si>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</si>
  <si>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</si>
  <si>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</si>
  <si>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</si>
  <si>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</si>
  <si>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</si>
  <si>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</si>
  <si>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</si>
  <si>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</si>
  <si>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</si>
  <si>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</si>
  <si>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</si>
  <si>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</si>
  <si>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</si>
  <si>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</si>
  <si>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</si>
  <si>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</si>
  <si>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</si>
  <si>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</si>
  <si>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</si>
  <si>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</si>
  <si>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</si>
  <si>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</si>
  <si>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</si>
  <si>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</si>
  <si>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</si>
  <si>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</si>
  <si>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</si>
  <si>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</si>
  <si>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</si>
  <si>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</si>
  <si>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</si>
  <si>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</si>
  <si>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</si>
  <si>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</si>
  <si>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</si>
  <si>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</si>
  <si>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</si>
  <si>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</si>
  <si>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</si>
  <si>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</si>
  <si>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</si>
  <si>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</si>
  <si>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</si>
  <si>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</si>
  <si>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</si>
  <si>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</si>
  <si>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</si>
  <si>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</si>
  <si>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</si>
  <si>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</si>
  <si>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</si>
  <si>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</si>
  <si>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</si>
  <si>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</si>
  <si>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</si>
  <si>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</si>
  <si>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</si>
  <si>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</si>
  <si>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</si>
  <si>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</si>
  <si>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</si>
  <si>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</si>
  <si>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</si>
  <si>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</si>
  <si>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</si>
  <si>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</si>
  <si>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</si>
  <si>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</si>
  <si>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</si>
  <si>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</si>
  <si>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</si>
  <si>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</si>
  <si>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</si>
  <si>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</si>
  <si>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</si>
  <si>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</si>
  <si>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</si>
  <si>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</si>
  <si>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</si>
  <si>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</si>
  <si>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</si>
  <si>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</si>
  <si>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</si>
  <si>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</si>
  <si>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</si>
  <si>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</si>
  <si>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</si>
  <si>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</si>
  <si>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</si>
  <si>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</si>
  <si>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</si>
  <si>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</si>
  <si>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</si>
  <si>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</si>
  <si>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</si>
  <si>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</si>
  <si>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</si>
  <si>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</si>
  <si>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</si>
  <si>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</si>
  <si>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</si>
  <si>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</si>
  <si>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</si>
  <si>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</si>
  <si>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</si>
  <si>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</si>
  <si>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</si>
  <si>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</si>
  <si>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</si>
  <si>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</si>
  <si>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</si>
  <si>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</si>
  <si>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</si>
  <si>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</si>
  <si>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</si>
  <si>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</si>
  <si>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</si>
  <si>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</si>
  <si>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</si>
  <si>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</si>
  <si>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</si>
  <si>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</si>
  <si>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</si>
  <si>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</si>
  <si>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</si>
  <si>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</si>
  <si>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</si>
  <si>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</si>
  <si>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</si>
  <si>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</si>
  <si>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</si>
  <si>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</si>
  <si>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</si>
  <si>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</si>
  <si>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</si>
  <si>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</si>
  <si>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</si>
  <si>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</si>
  <si>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</si>
  <si>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</si>
  <si>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</si>
  <si>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</si>
  <si>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</si>
  <si>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</si>
  <si>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</si>
  <si>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</si>
  <si>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</si>
  <si>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</si>
  <si>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</si>
  <si>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</si>
  <si>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</si>
  <si>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</si>
  <si>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</si>
  <si>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</si>
  <si>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</si>
  <si>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</si>
  <si>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</si>
  <si>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</si>
  <si>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</si>
  <si>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</si>
  <si>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</si>
  <si>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</si>
  <si>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</si>
  <si>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</si>
  <si>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</si>
  <si>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</si>
  <si>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</si>
  <si>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</si>
  <si>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</si>
  <si>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</si>
  <si>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</si>
  <si>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</si>
  <si>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</si>
  <si>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</si>
  <si>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</si>
  <si>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</si>
  <si>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</si>
  <si>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</si>
  <si>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</si>
  <si>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</si>
  <si>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</si>
  <si>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</si>
  <si>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</si>
  <si>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</si>
  <si>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</si>
  <si>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</si>
  <si>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</si>
  <si>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</si>
  <si>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</si>
  <si>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</si>
  <si>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</si>
  <si>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</si>
  <si>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</si>
  <si>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</si>
  <si>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</si>
  <si>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</si>
  <si>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</si>
  <si>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</si>
  <si>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</si>
  <si>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</si>
  <si>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</si>
  <si>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</si>
  <si>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</si>
  <si>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</si>
  <si>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</si>
  <si>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</si>
  <si>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</si>
  <si>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</si>
  <si>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</si>
  <si>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</si>
  <si>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</si>
  <si>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</si>
  <si>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</si>
  <si>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</si>
  <si>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</si>
  <si>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</si>
  <si>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</si>
  <si>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</si>
  <si>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</si>
  <si>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</si>
  <si>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</si>
  <si>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</si>
  <si>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</si>
  <si>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</si>
  <si>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</si>
  <si>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</si>
  <si>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</si>
  <si>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</si>
  <si>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</si>
  <si>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</si>
  <si>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</si>
  <si>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</si>
  <si>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</si>
  <si>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</si>
  <si>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</si>
  <si>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</si>
  <si>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</si>
  <si>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</si>
  <si>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</si>
  <si>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</si>
  <si>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</si>
  <si>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</si>
  <si>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</si>
  <si>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</si>
  <si>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</si>
  <si>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</si>
  <si>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</si>
  <si>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</si>
  <si>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</si>
  <si>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</si>
  <si>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</si>
  <si>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</si>
  <si>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</si>
  <si>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</si>
  <si>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</si>
  <si>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</si>
  <si>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</si>
  <si>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</si>
  <si>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</si>
  <si>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</si>
  <si>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</si>
  <si>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</si>
  <si>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</si>
  <si>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</si>
  <si>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</si>
  <si>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</si>
  <si>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</si>
  <si>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</si>
  <si>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</si>
  <si>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</si>
  <si>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</si>
  <si>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</si>
  <si>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</si>
  <si>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</si>
  <si>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</si>
  <si>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</si>
  <si>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</si>
  <si>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</si>
  <si>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</si>
  <si>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</si>
  <si>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</si>
  <si>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</si>
  <si>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</si>
  <si>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</si>
  <si>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</si>
  <si>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</si>
  <si>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</si>
  <si>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</si>
  <si>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</si>
  <si>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</si>
  <si>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</si>
  <si>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</si>
  <si>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</si>
  <si>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</si>
  <si>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</si>
  <si>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</si>
  <si>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</si>
  <si>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</si>
  <si>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</si>
  <si>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</si>
  <si>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</si>
  <si>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</si>
  <si>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</si>
  <si>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</si>
  <si>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</si>
  <si>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</si>
  <si>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</si>
  <si>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</si>
  <si>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</si>
  <si>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</si>
  <si>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</si>
  <si>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</si>
  <si>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</si>
  <si>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</si>
  <si>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</si>
  <si>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</si>
  <si>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</si>
  <si>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</si>
  <si>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</si>
  <si>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</si>
  <si>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</si>
  <si>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</si>
  <si>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</si>
  <si>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</si>
  <si>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</si>
  <si>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</si>
  <si>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</si>
  <si>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</si>
  <si>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</si>
  <si>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</si>
  <si>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</si>
  <si>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</si>
  <si>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</si>
  <si>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</si>
  <si>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</si>
  <si>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</si>
  <si>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</si>
  <si>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</si>
  <si>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</si>
  <si>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</si>
  <si>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</si>
  <si>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</si>
  <si>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</si>
  <si>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</si>
  <si>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</si>
  <si>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</si>
  <si>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</si>
  <si>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</si>
  <si>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</si>
  <si>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</si>
  <si>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</si>
  <si>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</si>
  <si>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</si>
  <si>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</si>
  <si>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</si>
  <si>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</si>
  <si>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</si>
  <si>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</si>
  <si>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</si>
  <si>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</si>
  <si>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</si>
  <si>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</si>
  <si>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</si>
  <si>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</si>
  <si>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</si>
  <si>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</si>
  <si>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</si>
  <si>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</si>
  <si>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</si>
  <si>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</si>
  <si>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</si>
  <si>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</si>
  <si>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</si>
  <si>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</si>
  <si>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</si>
  <si>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</si>
  <si>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</si>
  <si>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</si>
  <si>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</si>
  <si>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</si>
  <si>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</si>
  <si>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</si>
  <si>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</si>
  <si>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</si>
  <si>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</si>
  <si>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</si>
  <si>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</si>
  <si>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</si>
  <si>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</si>
  <si>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</si>
  <si>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</si>
  <si>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</si>
  <si>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</si>
  <si>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</si>
  <si>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</si>
  <si>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</si>
  <si>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</si>
  <si>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</si>
  <si>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</si>
  <si>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</si>
  <si>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</si>
  <si>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</si>
  <si>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</si>
  <si>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</si>
  <si>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</si>
  <si>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</si>
  <si>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</si>
  <si>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</si>
  <si>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</si>
  <si>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</si>
  <si>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</si>
  <si>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</si>
  <si>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</si>
  <si>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</si>
  <si>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</si>
  <si>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</si>
  <si>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</si>
  <si>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</si>
  <si>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</si>
  <si>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</si>
  <si>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</si>
  <si>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</si>
  <si>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</si>
  <si>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</si>
  <si>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</si>
  <si>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</si>
  <si>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</si>
  <si>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</si>
  <si>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</si>
  <si>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</si>
  <si>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</si>
  <si>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</si>
  <si>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</si>
  <si>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</si>
  <si>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</si>
  <si>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</si>
  <si>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</si>
  <si>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</si>
  <si>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</si>
  <si>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</si>
  <si>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</si>
  <si>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</si>
  <si>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</si>
  <si>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</si>
  <si>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</si>
  <si>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</si>
  <si>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</si>
  <si>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</si>
  <si>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</si>
  <si>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</si>
  <si>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</si>
  <si>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</si>
  <si>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</si>
  <si>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</si>
  <si>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</si>
  <si>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</si>
  <si>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</si>
  <si>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</si>
  <si>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</si>
  <si>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</si>
  <si>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</si>
  <si>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</si>
  <si>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</si>
  <si>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</si>
  <si>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</si>
  <si>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</si>
  <si>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</si>
  <si>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</si>
  <si>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</si>
  <si>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</si>
  <si>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</si>
  <si>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</si>
  <si>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</si>
  <si>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</si>
  <si>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</si>
  <si>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</si>
  <si>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</si>
  <si>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</si>
  <si>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</si>
  <si>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</si>
  <si>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</si>
  <si>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</si>
  <si>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</si>
  <si>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</si>
  <si>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</si>
  <si>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</si>
  <si>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</si>
  <si>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</si>
  <si>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</si>
  <si>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</si>
  <si>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</si>
  <si>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</si>
  <si>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</si>
  <si>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</si>
  <si>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</si>
  <si>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</si>
  <si>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</si>
  <si>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</si>
  <si>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</si>
  <si>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</si>
  <si>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</si>
  <si>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</si>
  <si>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</si>
  <si>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</si>
  <si>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</si>
  <si>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</si>
  <si>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</si>
  <si>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</si>
  <si>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</si>
  <si>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</si>
  <si>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</si>
  <si>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</si>
  <si>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</si>
  <si>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</si>
  <si>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</si>
  <si>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</si>
  <si>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</si>
  <si>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</si>
  <si>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</si>
  <si>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</si>
  <si>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</si>
  <si>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</si>
  <si>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</si>
  <si>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</si>
  <si>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</si>
  <si>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</si>
  <si>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</si>
  <si>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</si>
  <si>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</si>
  <si>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</si>
  <si>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</si>
  <si>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</si>
  <si>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</si>
  <si>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</si>
  <si>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</si>
  <si>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</si>
  <si>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</si>
  <si>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</si>
  <si>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</si>
  <si>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</si>
  <si>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</si>
  <si>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</si>
  <si>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</si>
  <si>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</si>
  <si>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</si>
  <si>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</si>
  <si>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</si>
  <si>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</si>
  <si>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</si>
  <si>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</si>
  <si>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</si>
  <si>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</si>
  <si>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</si>
  <si>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</si>
  <si>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</si>
  <si>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</si>
  <si>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</si>
  <si>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</si>
  <si>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</si>
  <si>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</si>
  <si>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</si>
  <si>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</si>
  <si>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</si>
  <si>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</si>
  <si>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</si>
  <si>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</si>
  <si>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</si>
  <si>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</si>
  <si>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</si>
  <si>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</si>
  <si>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</si>
  <si>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</si>
  <si>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</si>
  <si>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</si>
  <si>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</si>
  <si>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</si>
  <si>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</si>
  <si>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</si>
  <si>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</si>
  <si>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</si>
  <si>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</si>
  <si>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</si>
  <si>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</si>
  <si>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</si>
  <si>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</si>
  <si>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</si>
  <si>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</si>
  <si>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</si>
  <si>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</si>
  <si>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</si>
  <si>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</si>
  <si>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</si>
  <si>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</si>
  <si>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</si>
  <si>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</si>
  <si>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</si>
  <si>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</si>
  <si>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</si>
  <si>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</si>
  <si>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</si>
  <si>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</si>
  <si>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</si>
  <si>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</si>
  <si>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</si>
  <si>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</si>
  <si>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</si>
  <si>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</si>
  <si>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</si>
  <si>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</si>
  <si>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</si>
  <si>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</si>
  <si>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</si>
  <si>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</si>
  <si>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</si>
  <si>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</si>
  <si>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</si>
  <si>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</si>
  <si>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</si>
  <si>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</si>
  <si>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</si>
  <si>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</si>
  <si>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</si>
  <si>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</si>
  <si>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</si>
  <si>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</si>
  <si>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</si>
  <si>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</si>
  <si>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</si>
  <si>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</si>
  <si>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</si>
  <si>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</si>
  <si>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</si>
  <si>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</si>
  <si>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</si>
  <si>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</si>
  <si>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</si>
  <si>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</si>
  <si>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</si>
  <si>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</si>
  <si>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</si>
  <si>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</si>
  <si>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</si>
  <si>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</si>
  <si>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</si>
  <si>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</si>
  <si>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</si>
  <si>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</si>
  <si>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</si>
  <si>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</si>
  <si>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</si>
  <si>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</si>
  <si>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</si>
  <si>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</si>
  <si>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</si>
  <si>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</si>
  <si>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</si>
  <si>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</si>
  <si>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</si>
  <si>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</si>
  <si>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</si>
  <si>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</si>
  <si>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</si>
  <si>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</si>
  <si>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</si>
  <si>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</si>
  <si>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</si>
  <si>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</si>
  <si>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</si>
  <si>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</si>
  <si>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</si>
  <si>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</si>
  <si>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</si>
  <si>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</si>
  <si>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</si>
  <si>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</si>
  <si>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</si>
  <si>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</si>
  <si>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</si>
  <si>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</si>
  <si>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</si>
  <si>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</si>
  <si>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</si>
  <si>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</si>
  <si>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</si>
  <si>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</si>
  <si>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</si>
  <si>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</si>
  <si>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</si>
  <si>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</si>
  <si>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</si>
  <si>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</si>
  <si>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</si>
  <si>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</si>
  <si>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</si>
  <si>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</si>
  <si>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</si>
  <si>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</si>
  <si>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</si>
  <si>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</si>
  <si>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</si>
  <si>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</si>
  <si>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</si>
  <si>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</si>
  <si>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</si>
  <si>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</si>
  <si>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</si>
  <si>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</si>
  <si>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</si>
  <si>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</si>
  <si>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</si>
  <si>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</si>
  <si>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</si>
  <si>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</si>
  <si>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</si>
  <si>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</si>
  <si>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</si>
  <si>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</si>
  <si>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</si>
  <si>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</si>
  <si>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</si>
  <si>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</si>
  <si>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</si>
  <si>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</si>
  <si>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</si>
  <si>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</si>
  <si>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</si>
  <si>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</si>
  <si>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</si>
  <si>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</si>
  <si>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</si>
  <si>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</si>
  <si>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Month(Order Date)</t>
  </si>
  <si>
    <t>Year(Order Date)</t>
  </si>
  <si>
    <t>Row Labels</t>
  </si>
  <si>
    <t>Grand Total</t>
  </si>
  <si>
    <t>Sum of Sales</t>
  </si>
  <si>
    <t>Sum of Profit</t>
  </si>
  <si>
    <t>Jan</t>
  </si>
  <si>
    <t>Feb</t>
  </si>
  <si>
    <t>Mar</t>
  </si>
  <si>
    <t>Apr</t>
  </si>
  <si>
    <t>May</t>
  </si>
  <si>
    <t>Jun</t>
  </si>
  <si>
    <t>Jul</t>
  </si>
  <si>
    <t>Aug</t>
  </si>
  <si>
    <t>Sep</t>
  </si>
  <si>
    <t>Oct</t>
  </si>
  <si>
    <t>Nov</t>
  </si>
  <si>
    <t>Dec</t>
  </si>
  <si>
    <t>VLOOKUP()</t>
  </si>
  <si>
    <t>IF() with AND</t>
  </si>
  <si>
    <t>Grading Profit (Nested IF)</t>
  </si>
  <si>
    <t>SUMMARY OUTPUT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</si>
  <si>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</si>
  <si>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</si>
  <si>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</si>
  <si>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</si>
  <si>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</si>
  <si>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</si>
  <si>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</si>
  <si>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</si>
  <si>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</si>
  <si>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</si>
  <si>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</si>
  <si>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</si>
  <si>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</si>
  <si>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</si>
  <si>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</si>
  <si>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</si>
  <si>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</si>
  <si>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</si>
  <si>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</si>
  <si>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</si>
  <si>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</si>
  <si>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</si>
  <si>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</si>
  <si>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Column1</t>
  </si>
  <si>
    <t>Column2</t>
  </si>
  <si>
    <t>Information</t>
  </si>
  <si>
    <t>Total Sales:</t>
  </si>
  <si>
    <t>Total profit:</t>
  </si>
  <si>
    <t>Total Orders</t>
  </si>
  <si>
    <t>Total Quantity Sold</t>
  </si>
  <si>
    <t>Total Sales</t>
  </si>
  <si>
    <t>Total Profit</t>
  </si>
  <si>
    <t>Sr no.</t>
  </si>
  <si>
    <t>Description</t>
  </si>
  <si>
    <t>Dataset Name: Super Store Data</t>
  </si>
  <si>
    <t>Profit Status (IF())</t>
  </si>
  <si>
    <t>Columns Created: Month,Year,Profit Status, Grading Profit</t>
  </si>
  <si>
    <t>Tables: Sales per Region, Sales &amp; Profit by Category, Monthly Sales, Top 5 Customers</t>
  </si>
  <si>
    <t>Charts: Bar Chart, Column Chart, Line Chart, Donut(Pie) Chart</t>
  </si>
  <si>
    <t>Perform Regression by using Data Analysis Toolpak</t>
  </si>
  <si>
    <t>Formulas used IF(), INDEX-MATCH, VLOOKUP(), Nested IF(), SUM(), COUNT()</t>
  </si>
  <si>
    <t>Created Dashboard with KPI cards</t>
  </si>
  <si>
    <t>Created Slicer and Timeline</t>
  </si>
  <si>
    <t>Performed Conditional Formatting</t>
  </si>
  <si>
    <t>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</si>
</sst>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00"/>
    <numFmt numFmtId="165" formatCode="[$-F800]dddd\,\ mmmm\ dd\,\ yyyy"/>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color theme="1"/>
      <name val="Arial Black"/>
      <family val="2"/>
    </font>
    <font>
      <sz val="16"/>
      <color theme="1"/>
      <name val="Arial Rounded MT Bold"/>
      <family val="2"/>
    </font>
    <font>
      <sz val="18"/>
      <color rgb="FFBF9000"/>
      <name val="Arial Rounded MT Bold"/>
      <family val="2"/>
    </font>
    <font>
      <sz val="18"/>
      <color rgb="FFADB9CA"/>
      <name val="Arial Rounded MT Bold"/>
      <family val="2"/>
    </font>
    <font>
      <sz val="18"/>
      <color rgb="FFCC66FF"/>
      <name val="Arial Rounded MT Bold"/>
      <family val="2"/>
    </font>
    <font>
      <sz val="18"/>
      <color theme="4" tint="0.39997558519241921"/>
      <name val="Arial Rounded MT Bold"/>
      <family val="2"/>
    </font>
    <font>
      <b/>
      <sz val="36"/>
      <color theme="4" tint="0.39997558519241921"/>
      <name val="Bahnschrift Light SemiCondensed"/>
      <family val="2"/>
    </font>
    <font>
      <b/>
      <sz val="36"/>
      <color rgb="FFFFC000"/>
      <name val="Bahnschrift Light SemiCondensed"/>
      <family val="2"/>
    </font>
    <font>
      <b/>
      <sz val="36"/>
      <color rgb="FF92D050"/>
      <name val="Bahnschrift Light SemiCondensed"/>
      <family val="2"/>
    </font>
    <font>
      <b/>
      <sz val="36"/>
      <color rgb="FFCC66FF"/>
      <name val="Bahnschrift Light SemiCondensed"/>
      <family val="2"/>
    </font>
    <font>
      <sz val="18"/>
      <color rgb="FF92D050"/>
      <name val="Arial Rounded MT Bold"/>
      <family val="2"/>
    </font>
    <font>
      <sz val="18"/>
      <color rgb="FFFFC000"/>
      <name val="Arial Rounded MT Bold"/>
      <family val="2"/>
    </font>
    <font>
      <sz val="24"/>
      <color theme="1"/>
      <name val="Candar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0" fontId="0" fillId="0" borderId="0" xfId="0" applyAlignment="1">
      <alignment horizontal="center" vertical="center"/>
    </xf>
    <xf numFmtId="10"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16" fillId="0" borderId="0" xfId="0" applyFont="1" applyAlignment="1">
      <alignment horizontal="center" vertical="center"/>
    </xf>
    <xf numFmtId="0" fontId="18" fillId="0" borderId="0" xfId="0" applyFont="1" applyAlignment="1">
      <alignment horizontal="center"/>
    </xf>
    <xf numFmtId="0" fontId="18" fillId="0" borderId="0" xfId="0" applyFont="1" applyAlignment="1">
      <alignment horizontal="centerContinuous"/>
    </xf>
    <xf numFmtId="0" fontId="0" fillId="0" borderId="10" xfId="0" applyBorder="1" applyAlignment="1">
      <alignment horizontal="center" vertical="center"/>
    </xf>
    <xf numFmtId="164" fontId="0" fillId="0" borderId="10" xfId="0" applyNumberFormat="1" applyBorder="1"/>
    <xf numFmtId="0" fontId="0" fillId="0" borderId="10" xfId="0" applyBorder="1"/>
    <xf numFmtId="0" fontId="0" fillId="33" borderId="0" xfId="0" applyFill="1"/>
    <xf numFmtId="0" fontId="21" fillId="33" borderId="0" xfId="0" applyFont="1" applyFill="1" applyAlignment="1">
      <alignment horizontal="center" vertical="center"/>
    </xf>
    <xf numFmtId="0" fontId="23" fillId="33" borderId="0" xfId="0" applyFont="1" applyFill="1" applyAlignment="1">
      <alignment horizontal="center" vertical="center"/>
    </xf>
    <xf numFmtId="0" fontId="22" fillId="33" borderId="0" xfId="0" applyFont="1" applyFill="1" applyAlignment="1">
      <alignment horizontal="center" vertical="center"/>
    </xf>
    <xf numFmtId="0" fontId="11" fillId="6" borderId="10" xfId="11" applyBorder="1" applyAlignment="1">
      <alignment horizontal="center" vertical="center"/>
    </xf>
    <xf numFmtId="0" fontId="29" fillId="34" borderId="0" xfId="0" applyFont="1" applyFill="1" applyAlignment="1">
      <alignment horizontal="center"/>
    </xf>
    <xf numFmtId="0" fontId="30" fillId="34" borderId="0" xfId="0" applyFont="1" applyFill="1" applyAlignment="1">
      <alignment horizontal="center"/>
    </xf>
    <xf numFmtId="0" fontId="24" fillId="34" borderId="0" xfId="0" applyFont="1" applyFill="1" applyAlignment="1">
      <alignment horizontal="center"/>
    </xf>
    <xf numFmtId="0" fontId="23" fillId="34" borderId="0" xfId="0" applyFont="1" applyFill="1" applyAlignment="1">
      <alignment horizontal="center"/>
    </xf>
    <xf numFmtId="164" fontId="27" fillId="34" borderId="0" xfId="0" applyNumberFormat="1" applyFont="1" applyFill="1" applyAlignment="1">
      <alignment horizontal="center" vertical="center"/>
    </xf>
    <xf numFmtId="164" fontId="26" fillId="34" borderId="0" xfId="0" applyNumberFormat="1" applyFont="1" applyFill="1" applyAlignment="1">
      <alignment horizontal="center" vertical="center"/>
    </xf>
    <xf numFmtId="0" fontId="25" fillId="34" borderId="0" xfId="0" applyFont="1" applyFill="1" applyAlignment="1">
      <alignment horizontal="center" vertical="center"/>
    </xf>
    <xf numFmtId="0" fontId="28" fillId="34" borderId="0" xfId="0" applyFont="1" applyFill="1" applyAlignment="1">
      <alignment horizontal="center" vertical="center"/>
    </xf>
    <xf numFmtId="0" fontId="19" fillId="0" borderId="0" xfId="0" applyFont="1" applyAlignment="1">
      <alignment horizontal="center"/>
    </xf>
    <xf numFmtId="0" fontId="9" fillId="5" borderId="4" xfId="9" applyAlignment="1">
      <alignment horizontal="center"/>
    </xf>
    <xf numFmtId="0" fontId="20" fillId="0" borderId="0" xfId="0" applyFont="1" applyAlignment="1">
      <alignment horizontal="center" vertical="center"/>
    </xf>
    <xf numFmtId="0" fontId="31"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Practical Exam dataset.xlsx]Charts 1!PivotTable2</c:name>
    <c:fmtId val="23"/>
  </c:pivotSource>
  <c:chart>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1'!$M$3</c:f>
              <c:strCache>
                <c:ptCount val="1"/>
                <c:pt idx="0">
                  <c:v>Sum of Sales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'Charts 1'!$L$4:$L$7</c:f>
              <c:strCache>
                <c:ptCount val="3"/>
                <c:pt idx="0">
                  <c:v>Furniture</c:v>
                </c:pt>
                <c:pt idx="1">
                  <c:v>Office Supplies</c:v>
                </c:pt>
                <c:pt idx="2">
                  <c:v>Technology</c:v>
                </c:pt>
              </c:strCache>
            </c:strRef>
          </c:cat>
          <c:val>
            <c:numRef>
              <c:f>'Charts 1'!$M$4:$M$7</c:f>
              <c:numCache>
                <c:formatCode>[$₹-4009]\ #,##0.00</c:formatCode>
                <c:ptCount val="3"/>
                <c:pt idx="0">
                  <c:v>28126.361200000003</c:v>
                </c:pt>
                <c:pt idx="1">
                  <c:v>17110.423999999988</c:v>
                </c:pt>
                <c:pt idx="2">
                  <c:v>32667.023999999994</c:v>
                </c:pt>
              </c:numCache>
            </c:numRef>
          </c:val>
          <c:extLst>
            <c:ext xmlns:c16="http://schemas.microsoft.com/office/drawing/2014/chart" uri="{C3380CC4-5D6E-409C-BE32-E72D297353CC}">
              <c16:uniqueId val="{00000000-2E26-46CC-857B-C4A5093ED910}"/>
            </c:ext>
          </c:extLst>
        </c:ser>
        <c:ser>
          <c:idx val="1"/>
          <c:order val="1"/>
          <c:tx>
            <c:strRef>
              <c:f>'Charts 1'!$N$3</c:f>
              <c:strCache>
                <c:ptCount val="1"/>
                <c:pt idx="0">
                  <c:v>Sum of Profit</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'Charts 1'!$L$4:$L$7</c:f>
              <c:strCache>
                <c:ptCount val="3"/>
                <c:pt idx="0">
                  <c:v>Furniture</c:v>
                </c:pt>
                <c:pt idx="1">
                  <c:v>Office Supplies</c:v>
                </c:pt>
                <c:pt idx="2">
                  <c:v>Technology</c:v>
                </c:pt>
              </c:strCache>
            </c:strRef>
          </c:cat>
          <c:val>
            <c:numRef>
              <c:f>'Charts 1'!$N$4:$N$7</c:f>
              <c:numCache>
                <c:formatCode>[$₹-4009]\ #,##0.00</c:formatCode>
                <c:ptCount val="3"/>
                <c:pt idx="0">
                  <c:v>-1414.0913000000005</c:v>
                </c:pt>
                <c:pt idx="1">
                  <c:v>1419.5224000000005</c:v>
                </c:pt>
                <c:pt idx="2">
                  <c:v>-504.46580000000023</c:v>
                </c:pt>
              </c:numCache>
            </c:numRef>
          </c:val>
          <c:extLst>
            <c:ext xmlns:c16="http://schemas.microsoft.com/office/drawing/2014/chart" uri="{C3380CC4-5D6E-409C-BE32-E72D297353CC}">
              <c16:uniqueId val="{00000001-2E26-46CC-857B-C4A5093ED910}"/>
            </c:ext>
          </c:extLst>
        </c:ser>
        <c:dLbls>
          <c:showLegendKey val="0"/>
          <c:showVal val="0"/>
          <c:showCatName val="0"/>
          <c:showSerName val="0"/>
          <c:showPercent val="0"/>
          <c:showBubbleSize val="0"/>
        </c:dLbls>
        <c:gapWidth val="100"/>
        <c:overlap val="-24"/>
        <c:axId val="1814662928"/>
        <c:axId val="1814661488"/>
      </c:barChart>
      <c:catAx>
        <c:axId val="181466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4661488"/>
        <c:crosses val="autoZero"/>
        <c:auto val="1"/>
        <c:lblAlgn val="ctr"/>
        <c:lblOffset val="100"/>
        <c:noMultiLvlLbl val="0"/>
      </c:catAx>
      <c:valAx>
        <c:axId val="181466148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46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Practical Exam dataset.xlsx]Charts 1!PivotTable1</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FFFF00"/>
                </a:solidFill>
              </a:rPr>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 1'!$D$3</c:f>
              <c:strCache>
                <c:ptCount val="1"/>
                <c:pt idx="0">
                  <c:v>Total</c:v>
                </c:pt>
              </c:strCache>
            </c:strRef>
          </c:tx>
          <c:spPr>
            <a:solidFill>
              <a:schemeClr val="accent4">
                <a:alpha val="70000"/>
              </a:schemeClr>
            </a:solidFill>
            <a:ln>
              <a:noFill/>
            </a:ln>
            <a:effectLst/>
          </c:spPr>
          <c:invertIfNegative val="0"/>
          <c:cat>
            <c:strRef>
              <c:f>'Charts 1'!$C$4:$C$8</c:f>
              <c:strCache>
                <c:ptCount val="4"/>
                <c:pt idx="0">
                  <c:v>Central</c:v>
                </c:pt>
                <c:pt idx="1">
                  <c:v>East</c:v>
                </c:pt>
                <c:pt idx="2">
                  <c:v>South</c:v>
                </c:pt>
                <c:pt idx="3">
                  <c:v>West</c:v>
                </c:pt>
              </c:strCache>
            </c:strRef>
          </c:cat>
          <c:val>
            <c:numRef>
              <c:f>'Charts 1'!$D$4:$D$8</c:f>
              <c:numCache>
                <c:formatCode>[$₹-4009]\ #,##0.00</c:formatCode>
                <c:ptCount val="4"/>
                <c:pt idx="0">
                  <c:v>35738.805199999988</c:v>
                </c:pt>
                <c:pt idx="1">
                  <c:v>13439.848</c:v>
                </c:pt>
                <c:pt idx="2">
                  <c:v>8601.6219999999994</c:v>
                </c:pt>
                <c:pt idx="3">
                  <c:v>20123.533999999989</c:v>
                </c:pt>
              </c:numCache>
            </c:numRef>
          </c:val>
          <c:extLst>
            <c:ext xmlns:c16="http://schemas.microsoft.com/office/drawing/2014/chart" uri="{C3380CC4-5D6E-409C-BE32-E72D297353CC}">
              <c16:uniqueId val="{00000000-A502-44A2-9BBE-AAB446AAD89F}"/>
            </c:ext>
          </c:extLst>
        </c:ser>
        <c:dLbls>
          <c:showLegendKey val="0"/>
          <c:showVal val="0"/>
          <c:showCatName val="0"/>
          <c:showSerName val="0"/>
          <c:showPercent val="0"/>
          <c:showBubbleSize val="0"/>
        </c:dLbls>
        <c:gapWidth val="50"/>
        <c:overlap val="100"/>
        <c:axId val="1403984688"/>
        <c:axId val="1403988048"/>
      </c:barChart>
      <c:catAx>
        <c:axId val="140398468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403988048"/>
        <c:crosses val="autoZero"/>
        <c:auto val="1"/>
        <c:lblAlgn val="ctr"/>
        <c:lblOffset val="100"/>
        <c:noMultiLvlLbl val="0"/>
      </c:catAx>
      <c:valAx>
        <c:axId val="140398804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4039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Practical Exam dataset.xlsx]Monthly Sales!PivotTable3</c:name>
    <c:fmtId val="21"/>
  </c:pivotSource>
  <c:chart>
    <c:title>
      <c:tx>
        <c:rich>
          <a:bodyPr rot="0" spcFirstLastPara="1" vertOverflow="ellipsis" vert="horz" wrap="square" anchor="ctr" anchorCtr="1"/>
          <a:lstStyle/>
          <a:p>
            <a:pPr>
              <a:defRPr sz="1400" b="1" i="0" u="none" strike="noStrike" kern="1200" cap="none" baseline="0">
                <a:solidFill>
                  <a:schemeClr val="accent2">
                    <a:lumMod val="40000"/>
                    <a:lumOff val="60000"/>
                  </a:schemeClr>
                </a:solidFill>
                <a:latin typeface="+mn-lt"/>
                <a:ea typeface="+mn-ea"/>
                <a:cs typeface="+mn-cs"/>
              </a:defRPr>
            </a:pPr>
            <a:r>
              <a:rPr lang="en-US">
                <a:solidFill>
                  <a:schemeClr val="accent2">
                    <a:lumMod val="40000"/>
                    <a:lumOff val="60000"/>
                  </a:schemeClr>
                </a:solidFill>
              </a:rPr>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2">
                  <a:lumMod val="40000"/>
                  <a:lumOff val="60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[$₹-4009]\ #,##0.00</c:formatCode>
                <c:ptCount val="12"/>
                <c:pt idx="0">
                  <c:v>5071.6960000000008</c:v>
                </c:pt>
                <c:pt idx="1">
                  <c:v>4354.0599999999995</c:v>
                </c:pt>
                <c:pt idx="2">
                  <c:v>935.26200000000006</c:v>
                </c:pt>
                <c:pt idx="3">
                  <c:v>2291.0699999999997</c:v>
                </c:pt>
                <c:pt idx="4">
                  <c:v>6506.5940000000001</c:v>
                </c:pt>
                <c:pt idx="5">
                  <c:v>1605.9939999999999</c:v>
                </c:pt>
                <c:pt idx="6">
                  <c:v>2882.8825000000006</c:v>
                </c:pt>
                <c:pt idx="7">
                  <c:v>13607.088</c:v>
                </c:pt>
                <c:pt idx="8">
                  <c:v>17710.742000000002</c:v>
                </c:pt>
                <c:pt idx="9">
                  <c:v>3587.7340000000004</c:v>
                </c:pt>
                <c:pt idx="10">
                  <c:v>10453.877499999999</c:v>
                </c:pt>
                <c:pt idx="11">
                  <c:v>8896.8091999999997</c:v>
                </c:pt>
              </c:numCache>
            </c:numRef>
          </c:val>
          <c:smooth val="0"/>
          <c:extLst>
            <c:ext xmlns:c16="http://schemas.microsoft.com/office/drawing/2014/chart" uri="{C3380CC4-5D6E-409C-BE32-E72D297353CC}">
              <c16:uniqueId val="{00000000-2C54-4B3E-99B9-1048019A33F9}"/>
            </c:ext>
          </c:extLst>
        </c:ser>
        <c:dLbls>
          <c:showLegendKey val="0"/>
          <c:showVal val="0"/>
          <c:showCatName val="0"/>
          <c:showSerName val="0"/>
          <c:showPercent val="0"/>
          <c:showBubbleSize val="0"/>
        </c:dLbls>
        <c:marker val="1"/>
        <c:smooth val="0"/>
        <c:axId val="1875493152"/>
        <c:axId val="1815913744"/>
      </c:lineChart>
      <c:catAx>
        <c:axId val="1875493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5913744"/>
        <c:crosses val="autoZero"/>
        <c:auto val="1"/>
        <c:lblAlgn val="ctr"/>
        <c:lblOffset val="100"/>
        <c:noMultiLvlLbl val="0"/>
      </c:catAx>
      <c:valAx>
        <c:axId val="1815913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54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Practical Exam dataset.xlsx]Sales Per Customer!PivotTable1</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2">
                    <a:lumMod val="90000"/>
                  </a:schemeClr>
                </a:solidFill>
              </a:rPr>
              <a:t>Sales per</a:t>
            </a:r>
            <a:r>
              <a:rPr lang="en-US" baseline="0">
                <a:solidFill>
                  <a:schemeClr val="bg2">
                    <a:lumMod val="90000"/>
                  </a:schemeClr>
                </a:solidFill>
              </a:rPr>
              <a:t>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 Per Customer'!$I$3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3C-4007-A52F-12B9DC28857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3C-4007-A52F-12B9DC28857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43C-4007-A52F-12B9DC2885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Customer'!$H$4:$H$7</c:f>
              <c:strCache>
                <c:ptCount val="3"/>
                <c:pt idx="0">
                  <c:v>Furniture</c:v>
                </c:pt>
                <c:pt idx="1">
                  <c:v>Office Supplies</c:v>
                </c:pt>
                <c:pt idx="2">
                  <c:v>Technology</c:v>
                </c:pt>
              </c:strCache>
            </c:strRef>
          </c:cat>
          <c:val>
            <c:numRef>
              <c:f>'Sales Per Customer'!$I$4:$I$7</c:f>
              <c:numCache>
                <c:formatCode>[$₹-4009]\ #,##0.00</c:formatCode>
                <c:ptCount val="3"/>
                <c:pt idx="0">
                  <c:v>28126.361200000003</c:v>
                </c:pt>
                <c:pt idx="1">
                  <c:v>17110.423999999988</c:v>
                </c:pt>
                <c:pt idx="2">
                  <c:v>32667.023999999994</c:v>
                </c:pt>
              </c:numCache>
            </c:numRef>
          </c:val>
          <c:extLst>
            <c:ext xmlns:c16="http://schemas.microsoft.com/office/drawing/2014/chart" uri="{C3380CC4-5D6E-409C-BE32-E72D297353CC}">
              <c16:uniqueId val="{00000006-A43C-4007-A52F-12B9DC2885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Practical Exam dataset.xlsx]Charts 1!PivotTable1</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 1'!$D$3</c:f>
              <c:strCache>
                <c:ptCount val="1"/>
                <c:pt idx="0">
                  <c:v>Total</c:v>
                </c:pt>
              </c:strCache>
            </c:strRef>
          </c:tx>
          <c:spPr>
            <a:solidFill>
              <a:schemeClr val="accent4">
                <a:alpha val="70000"/>
              </a:schemeClr>
            </a:solidFill>
            <a:ln>
              <a:noFill/>
            </a:ln>
            <a:effectLst/>
          </c:spPr>
          <c:invertIfNegative val="0"/>
          <c:cat>
            <c:strRef>
              <c:f>'Charts 1'!$C$4:$C$8</c:f>
              <c:strCache>
                <c:ptCount val="4"/>
                <c:pt idx="0">
                  <c:v>Central</c:v>
                </c:pt>
                <c:pt idx="1">
                  <c:v>East</c:v>
                </c:pt>
                <c:pt idx="2">
                  <c:v>South</c:v>
                </c:pt>
                <c:pt idx="3">
                  <c:v>West</c:v>
                </c:pt>
              </c:strCache>
            </c:strRef>
          </c:cat>
          <c:val>
            <c:numRef>
              <c:f>'Charts 1'!$D$4:$D$8</c:f>
              <c:numCache>
                <c:formatCode>[$₹-4009]\ #,##0.00</c:formatCode>
                <c:ptCount val="4"/>
                <c:pt idx="0">
                  <c:v>35738.805199999988</c:v>
                </c:pt>
                <c:pt idx="1">
                  <c:v>13439.848</c:v>
                </c:pt>
                <c:pt idx="2">
                  <c:v>8601.6219999999994</c:v>
                </c:pt>
                <c:pt idx="3">
                  <c:v>20123.533999999989</c:v>
                </c:pt>
              </c:numCache>
            </c:numRef>
          </c:val>
          <c:extLst>
            <c:ext xmlns:c16="http://schemas.microsoft.com/office/drawing/2014/chart" uri="{C3380CC4-5D6E-409C-BE32-E72D297353CC}">
              <c16:uniqueId val="{00000000-280C-4421-BE08-390D0C9E244A}"/>
            </c:ext>
          </c:extLst>
        </c:ser>
        <c:dLbls>
          <c:showLegendKey val="0"/>
          <c:showVal val="0"/>
          <c:showCatName val="0"/>
          <c:showSerName val="0"/>
          <c:showPercent val="0"/>
          <c:showBubbleSize val="0"/>
        </c:dLbls>
        <c:gapWidth val="50"/>
        <c:overlap val="100"/>
        <c:axId val="1403984688"/>
        <c:axId val="1403988048"/>
      </c:barChart>
      <c:catAx>
        <c:axId val="140398468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88048"/>
        <c:crosses val="autoZero"/>
        <c:auto val="1"/>
        <c:lblAlgn val="ctr"/>
        <c:lblOffset val="100"/>
        <c:noMultiLvlLbl val="0"/>
      </c:catAx>
      <c:valAx>
        <c:axId val="140398804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Practical Exam dataset.xlsx]Charts 1!PivotTable2</c:name>
    <c:fmtId val="17"/>
  </c:pivotSource>
  <c:chart>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1'!$M$3</c:f>
              <c:strCache>
                <c:ptCount val="1"/>
                <c:pt idx="0">
                  <c:v>Sum of Sales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'Charts 1'!$L$4:$L$7</c:f>
              <c:strCache>
                <c:ptCount val="3"/>
                <c:pt idx="0">
                  <c:v>Furniture</c:v>
                </c:pt>
                <c:pt idx="1">
                  <c:v>Office Supplies</c:v>
                </c:pt>
                <c:pt idx="2">
                  <c:v>Technology</c:v>
                </c:pt>
              </c:strCache>
            </c:strRef>
          </c:cat>
          <c:val>
            <c:numRef>
              <c:f>'Charts 1'!$M$4:$M$7</c:f>
              <c:numCache>
                <c:formatCode>[$₹-4009]\ #,##0.00</c:formatCode>
                <c:ptCount val="3"/>
                <c:pt idx="0">
                  <c:v>28126.361200000003</c:v>
                </c:pt>
                <c:pt idx="1">
                  <c:v>17110.423999999988</c:v>
                </c:pt>
                <c:pt idx="2">
                  <c:v>32667.023999999994</c:v>
                </c:pt>
              </c:numCache>
            </c:numRef>
          </c:val>
          <c:extLst>
            <c:ext xmlns:c16="http://schemas.microsoft.com/office/drawing/2014/chart" uri="{C3380CC4-5D6E-409C-BE32-E72D297353CC}">
              <c16:uniqueId val="{00000000-331C-492E-A51E-6CAB946156D0}"/>
            </c:ext>
          </c:extLst>
        </c:ser>
        <c:ser>
          <c:idx val="1"/>
          <c:order val="1"/>
          <c:tx>
            <c:strRef>
              <c:f>'Charts 1'!$N$3</c:f>
              <c:strCache>
                <c:ptCount val="1"/>
                <c:pt idx="0">
                  <c:v>Sum of Profit</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'Charts 1'!$L$4:$L$7</c:f>
              <c:strCache>
                <c:ptCount val="3"/>
                <c:pt idx="0">
                  <c:v>Furniture</c:v>
                </c:pt>
                <c:pt idx="1">
                  <c:v>Office Supplies</c:v>
                </c:pt>
                <c:pt idx="2">
                  <c:v>Technology</c:v>
                </c:pt>
              </c:strCache>
            </c:strRef>
          </c:cat>
          <c:val>
            <c:numRef>
              <c:f>'Charts 1'!$N$4:$N$7</c:f>
              <c:numCache>
                <c:formatCode>[$₹-4009]\ #,##0.00</c:formatCode>
                <c:ptCount val="3"/>
                <c:pt idx="0">
                  <c:v>-1414.0913000000005</c:v>
                </c:pt>
                <c:pt idx="1">
                  <c:v>1419.5224000000005</c:v>
                </c:pt>
                <c:pt idx="2">
                  <c:v>-504.46580000000023</c:v>
                </c:pt>
              </c:numCache>
            </c:numRef>
          </c:val>
          <c:extLst>
            <c:ext xmlns:c16="http://schemas.microsoft.com/office/drawing/2014/chart" uri="{C3380CC4-5D6E-409C-BE32-E72D297353CC}">
              <c16:uniqueId val="{00000001-331C-492E-A51E-6CAB946156D0}"/>
            </c:ext>
          </c:extLst>
        </c:ser>
        <c:dLbls>
          <c:showLegendKey val="0"/>
          <c:showVal val="0"/>
          <c:showCatName val="0"/>
          <c:showSerName val="0"/>
          <c:showPercent val="0"/>
          <c:showBubbleSize val="0"/>
        </c:dLbls>
        <c:gapWidth val="100"/>
        <c:overlap val="-24"/>
        <c:axId val="1814662928"/>
        <c:axId val="1814661488"/>
      </c:barChart>
      <c:catAx>
        <c:axId val="181466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4661488"/>
        <c:crosses val="autoZero"/>
        <c:auto val="1"/>
        <c:lblAlgn val="ctr"/>
        <c:lblOffset val="100"/>
        <c:noMultiLvlLbl val="0"/>
      </c:catAx>
      <c:valAx>
        <c:axId val="181466148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46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Practical Exam dataset.xlsx]Sales Per Customer!PivotTable1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per</a:t>
            </a:r>
            <a:r>
              <a:rPr lang="en-US" baseline="0"/>
              <a:t>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 Per Customer'!$I$3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EA-46E1-8371-57D78F2B618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EA-46E1-8371-57D78F2B618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EA-46E1-8371-57D78F2B61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Customer'!$H$4:$H$7</c:f>
              <c:strCache>
                <c:ptCount val="3"/>
                <c:pt idx="0">
                  <c:v>Furniture</c:v>
                </c:pt>
                <c:pt idx="1">
                  <c:v>Office Supplies</c:v>
                </c:pt>
                <c:pt idx="2">
                  <c:v>Technology</c:v>
                </c:pt>
              </c:strCache>
            </c:strRef>
          </c:cat>
          <c:val>
            <c:numRef>
              <c:f>'Sales Per Customer'!$I$4:$I$7</c:f>
              <c:numCache>
                <c:formatCode>[$₹-4009]\ #,##0.00</c:formatCode>
                <c:ptCount val="3"/>
                <c:pt idx="0">
                  <c:v>28126.361200000003</c:v>
                </c:pt>
                <c:pt idx="1">
                  <c:v>17110.423999999988</c:v>
                </c:pt>
                <c:pt idx="2">
                  <c:v>32667.023999999994</c:v>
                </c:pt>
              </c:numCache>
            </c:numRef>
          </c:val>
          <c:extLst>
            <c:ext xmlns:c16="http://schemas.microsoft.com/office/drawing/2014/chart" uri="{C3380CC4-5D6E-409C-BE32-E72D297353CC}">
              <c16:uniqueId val="{00000000-36C5-48E3-9FEC-7069440BDF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Practical Exam dataset.xlsx]Monthly Sales!PivotTable3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[$₹-4009]\ #,##0.00</c:formatCode>
                <c:ptCount val="12"/>
                <c:pt idx="0">
                  <c:v>5071.6960000000008</c:v>
                </c:pt>
                <c:pt idx="1">
                  <c:v>4354.0599999999995</c:v>
                </c:pt>
                <c:pt idx="2">
                  <c:v>935.26200000000006</c:v>
                </c:pt>
                <c:pt idx="3">
                  <c:v>2291.0699999999997</c:v>
                </c:pt>
                <c:pt idx="4">
                  <c:v>6506.5940000000001</c:v>
                </c:pt>
                <c:pt idx="5">
                  <c:v>1605.9939999999999</c:v>
                </c:pt>
                <c:pt idx="6">
                  <c:v>2882.8825000000006</c:v>
                </c:pt>
                <c:pt idx="7">
                  <c:v>13607.088</c:v>
                </c:pt>
                <c:pt idx="8">
                  <c:v>17710.742000000002</c:v>
                </c:pt>
                <c:pt idx="9">
                  <c:v>3587.7340000000004</c:v>
                </c:pt>
                <c:pt idx="10">
                  <c:v>10453.877499999999</c:v>
                </c:pt>
                <c:pt idx="11">
                  <c:v>8896.8091999999997</c:v>
                </c:pt>
              </c:numCache>
            </c:numRef>
          </c:val>
          <c:smooth val="0"/>
          <c:extLst>
            <c:ext xmlns:c16="http://schemas.microsoft.com/office/drawing/2014/chart" uri="{C3380CC4-5D6E-409C-BE32-E72D297353CC}">
              <c16:uniqueId val="{00000000-DD4A-419A-8CED-180A8237602C}"/>
            </c:ext>
          </c:extLst>
        </c:ser>
        <c:dLbls>
          <c:showLegendKey val="0"/>
          <c:showVal val="0"/>
          <c:showCatName val="0"/>
          <c:showSerName val="0"/>
          <c:showPercent val="0"/>
          <c:showBubbleSize val="0"/>
        </c:dLbls>
        <c:marker val="1"/>
        <c:smooth val="0"/>
        <c:axId val="1875493152"/>
        <c:axId val="1815913744"/>
      </c:lineChart>
      <c:catAx>
        <c:axId val="1875493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5913744"/>
        <c:crosses val="autoZero"/>
        <c:auto val="1"/>
        <c:lblAlgn val="ctr"/>
        <c:lblOffset val="100"/>
        <c:noMultiLvlLbl val="0"/>
      </c:catAx>
      <c:valAx>
        <c:axId val="1815913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54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168347</xdr:rowOff>
    </xdr:from>
    <xdr:to>
      <xdr:col>6</xdr:col>
      <xdr:colOff>194930</xdr:colOff>
      <xdr:row>26</xdr:row>
      <xdr:rowOff>53162</xdr:rowOff>
    </xdr:to>
    <xdr:graphicFrame macro="">
      <xdr:nvGraphicFramePr>
        <xdr:cNvPr id="12" name="Chart 11">
          <a:extLst>
            <a:ext uri="{FF2B5EF4-FFF2-40B4-BE49-F238E27FC236}">
              <a16:creationId xmlns:a16="http://schemas.microsoft.com/office/drawing/2014/main" id="{41A2CE6A-2B33-40C1-B2AC-5FC7E38BB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354418</xdr:colOff>
      <xdr:row>10</xdr:row>
      <xdr:rowOff>168347</xdr:rowOff>
    </xdr:from>
    <xdr:to>
      <xdr:col>13</xdr:col>
      <xdr:colOff>177210</xdr:colOff>
      <xdr:row>26</xdr:row>
      <xdr:rowOff>62022</xdr:rowOff>
    </xdr:to>
    <xdr:graphicFrame macro="">
      <xdr:nvGraphicFramePr>
        <xdr:cNvPr id="13" name="Chart 12">
          <a:extLst>
            <a:ext uri="{FF2B5EF4-FFF2-40B4-BE49-F238E27FC236}">
              <a16:creationId xmlns:a16="http://schemas.microsoft.com/office/drawing/2014/main" id="{F4C2329B-D019-47C2-92AB-26917D34C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115184</xdr:rowOff>
    </xdr:from>
    <xdr:to>
      <xdr:col>23</xdr:col>
      <xdr:colOff>522768</xdr:colOff>
      <xdr:row>34</xdr:row>
      <xdr:rowOff>70883</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60F5D85E-7939-4EA1-8BF6-A27C29C41C1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5147928"/>
              <a:ext cx="14584326" cy="14442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310117</xdr:colOff>
      <xdr:row>10</xdr:row>
      <xdr:rowOff>168349</xdr:rowOff>
    </xdr:from>
    <xdr:to>
      <xdr:col>20</xdr:col>
      <xdr:colOff>212651</xdr:colOff>
      <xdr:row>26</xdr:row>
      <xdr:rowOff>53163</xdr:rowOff>
    </xdr:to>
    <xdr:graphicFrame macro="">
      <xdr:nvGraphicFramePr>
        <xdr:cNvPr id="15" name="Chart 14">
          <a:extLst>
            <a:ext uri="{FF2B5EF4-FFF2-40B4-BE49-F238E27FC236}">
              <a16:creationId xmlns:a16="http://schemas.microsoft.com/office/drawing/2014/main" id="{D886E791-E9ED-435A-B35F-0BC15417F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372139</xdr:colOff>
      <xdr:row>10</xdr:row>
      <xdr:rowOff>159487</xdr:rowOff>
    </xdr:from>
    <xdr:to>
      <xdr:col>26</xdr:col>
      <xdr:colOff>593653</xdr:colOff>
      <xdr:row>26</xdr:row>
      <xdr:rowOff>44302</xdr:rowOff>
    </xdr:to>
    <xdr:graphicFrame macro="">
      <xdr:nvGraphicFramePr>
        <xdr:cNvPr id="16" name="Chart 15">
          <a:extLst>
            <a:ext uri="{FF2B5EF4-FFF2-40B4-BE49-F238E27FC236}">
              <a16:creationId xmlns:a16="http://schemas.microsoft.com/office/drawing/2014/main" id="{9AAE3E26-BD03-49AD-A467-4574D29C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26581</xdr:colOff>
      <xdr:row>26</xdr:row>
      <xdr:rowOff>132907</xdr:rowOff>
    </xdr:from>
    <xdr:to>
      <xdr:col>26</xdr:col>
      <xdr:colOff>549349</xdr:colOff>
      <xdr:row>34</xdr:row>
      <xdr:rowOff>88605</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ADDE9123-38C9-48F3-9FBE-B290C1A501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699511" y="5165651"/>
              <a:ext cx="1745512" cy="1444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396240</xdr:colOff>
      <xdr:row>7</xdr:row>
      <xdr:rowOff>167640</xdr:rowOff>
    </xdr:from>
    <xdr:to>
      <xdr:col>6</xdr:col>
      <xdr:colOff>304800</xdr:colOff>
      <xdr:row>22</xdr:row>
      <xdr:rowOff>167640</xdr:rowOff>
    </xdr:to>
    <xdr:graphicFrame macro="">
      <xdr:nvGraphicFramePr>
        <xdr:cNvPr id="2" name="Chart 1">
          <a:extLst>
            <a:ext uri="{FF2B5EF4-FFF2-40B4-BE49-F238E27FC236}">
              <a16:creationId xmlns:a16="http://schemas.microsoft.com/office/drawing/2014/main" id="{BCDC357A-5AC8-9FBF-F109-BEF25B3DD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7</xdr:row>
      <xdr:rowOff>15240</xdr:rowOff>
    </xdr:from>
    <xdr:to>
      <xdr:col>15</xdr:col>
      <xdr:colOff>388620</xdr:colOff>
      <xdr:row>22</xdr:row>
      <xdr:rowOff>167640</xdr:rowOff>
    </xdr:to>
    <xdr:graphicFrame macro="">
      <xdr:nvGraphicFramePr>
        <xdr:cNvPr id="3" name="Chart 2">
          <a:extLst>
            <a:ext uri="{FF2B5EF4-FFF2-40B4-BE49-F238E27FC236}">
              <a16:creationId xmlns:a16="http://schemas.microsoft.com/office/drawing/2014/main" id="{1313B527-AAE2-A447-CABC-B512C2EB4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15240</xdr:colOff>
      <xdr:row>0</xdr:row>
      <xdr:rowOff>0</xdr:rowOff>
    </xdr:from>
    <xdr:to>
      <xdr:col>6</xdr:col>
      <xdr:colOff>464820</xdr:colOff>
      <xdr:row>7</xdr:row>
      <xdr:rowOff>160020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50965E5-876A-E5BA-9066-CABFBEFB63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99460" y="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7</xdr:row>
      <xdr:rowOff>7620</xdr:rowOff>
    </xdr:from>
    <xdr:to>
      <xdr:col>11</xdr:col>
      <xdr:colOff>91440</xdr:colOff>
      <xdr:row>22</xdr:row>
      <xdr:rowOff>7620</xdr:rowOff>
    </xdr:to>
    <xdr:graphicFrame macro="">
      <xdr:nvGraphicFramePr>
        <xdr:cNvPr id="3" name="Chart 2">
          <a:extLst>
            <a:ext uri="{FF2B5EF4-FFF2-40B4-BE49-F238E27FC236}">
              <a16:creationId xmlns:a16="http://schemas.microsoft.com/office/drawing/2014/main" id="{DE4F7562-241C-93A1-D054-36B364F2B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1</xdr:row>
      <xdr:rowOff>160020</xdr:rowOff>
    </xdr:from>
    <xdr:to>
      <xdr:col>9</xdr:col>
      <xdr:colOff>312420</xdr:colOff>
      <xdr:row>16</xdr:row>
      <xdr:rowOff>160020</xdr:rowOff>
    </xdr:to>
    <xdr:graphicFrame macro="">
      <xdr:nvGraphicFramePr>
        <xdr:cNvPr id="2" name="Chart 1">
          <a:extLst>
            <a:ext uri="{FF2B5EF4-FFF2-40B4-BE49-F238E27FC236}">
              <a16:creationId xmlns:a16="http://schemas.microsoft.com/office/drawing/2014/main" id="{4A29E471-F1A7-BA55-F00B-ECCABD55A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167640</xdr:rowOff>
    </xdr:from>
    <xdr:to>
      <xdr:col>9</xdr:col>
      <xdr:colOff>312420</xdr:colOff>
      <xdr:row>24</xdr:row>
      <xdr:rowOff>76200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7363D43-F48F-A013-F41E-A19BDEAC055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3093720"/>
              <a:ext cx="62026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refreshedDate="46081.551964467595" createdVersion="8" refreshedVersion="8" minRefreshableVersion="3" recordCount="300" xr:uid="{906EED38-B9B7-4E1F-8944-1858888F3E7E}">
  <cacheSource type="worksheet">
    <worksheetSource name="SalesData"/>
  </cacheSource>
  <cacheFields count="22">
    <cacheField name="Row ID" numFmtId="0">
      <sharedItems containsSemiMixedTypes="0" containsString="0" containsNumber="1" containsInteger="1" minValue="1" maxValue="300"/>
    </cacheField>
    <cacheField name="Order ID" numFmtId="0">
      <sharedItems/>
    </cacheField>
    <cacheField name="Order Date" numFmtId="165">
      <sharedItems containsSemiMixedTypes="0" containsNonDate="0" containsDate="1" containsString="0" minDate="2014-01-03T00:00:00" maxDate="2017-12-29T00:00:00" count="122">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5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1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10-10T00:00:00"/>
        <d v="2015-09-26T00:00:00"/>
        <d v="2015-02-11T00:00:00"/>
        <d v="2016-12-18T00:00:00"/>
      </sharedItems>
    </cacheField>
    <cacheField name="Ship Mode" numFmtId="0">
      <sharedItems/>
    </cacheField>
    <cacheField name="Customer ID" numFmtId="0">
      <sharedItems/>
    </cacheField>
    <cacheField name="Customer Name" numFmtId="0">
      <sharedItems count="127">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6824" maxValue="98115"/>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Sales" numFmtId="164">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1665.0522000000001" maxValue="636.00030000000004"/>
    </cacheField>
    <cacheField name="Month(Order Date)" numFmtId="0">
      <sharedItems count="12">
        <s v="Aug"/>
        <s v="Dec"/>
        <s v="Nov"/>
        <s v="Sep"/>
        <s v="Apr"/>
        <s v="May"/>
        <s v="Jul"/>
        <s v="Jan"/>
        <s v="Oct"/>
        <s v="Jun"/>
        <s v="Mar"/>
        <s v="Feb"/>
      </sharedItems>
    </cacheField>
    <cacheField name="Year(Order Date)" numFmtId="0">
      <sharedItems containsSemiMixedTypes="0" containsString="0" containsNumber="1" containsInteger="1" minValue="2014" maxValue="2017"/>
    </cacheField>
    <cacheField name="Profit Status" numFmtId="0">
      <sharedItems/>
    </cacheField>
  </cacheFields>
  <extLst>
    <ext xmlns:x14="http://schemas.microsoft.com/office/spreadsheetml/2009/9/main" uri="{725AE2AE-9491-48be-B2B4-4EB974FC3084}">
      <x14:pivotCacheDefinition pivotCacheId="1010972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s v="CA-2016-152156"/>
    <x v="0"/>
    <s v="Second Class"/>
    <s v="CG-12520"/>
    <x v="0"/>
    <s v="Consumer"/>
    <s v="United States"/>
    <s v="Henderson"/>
    <s v="Kentucky"/>
    <n v="42420"/>
    <x v="0"/>
    <s v="FUR-BO-10001798"/>
    <x v="0"/>
    <s v="Bookcases"/>
    <n v="261.95999999999998"/>
    <n v="2"/>
    <n v="0"/>
    <n v="41.913600000000002"/>
    <x v="0"/>
    <n v="2016"/>
    <s v="Profit"/>
  </r>
  <r>
    <n v="2"/>
    <s v="CA-2016-152156"/>
    <x v="0"/>
    <s v="Second Class"/>
    <s v="CG-12520"/>
    <x v="0"/>
    <s v="Consumer"/>
    <s v="United States"/>
    <s v="Henderson"/>
    <s v="Kentucky"/>
    <n v="42420"/>
    <x v="0"/>
    <s v="FUR-CH-10000454"/>
    <x v="0"/>
    <s v="Chairs"/>
    <n v="731.94"/>
    <n v="3"/>
    <n v="0"/>
    <n v="219.58199999999999"/>
    <x v="0"/>
    <n v="2016"/>
    <s v="Profit"/>
  </r>
  <r>
    <n v="3"/>
    <s v="CA-2016-138688"/>
    <x v="1"/>
    <s v="Second Class"/>
    <s v="DV-13045"/>
    <x v="1"/>
    <s v="Corporate"/>
    <s v="United States"/>
    <s v="Los Angeles"/>
    <s v="California"/>
    <n v="90036"/>
    <x v="1"/>
    <s v="OFF-LA-10000240"/>
    <x v="1"/>
    <s v="Labels"/>
    <n v="14.62"/>
    <n v="2"/>
    <n v="0"/>
    <n v="6.8714000000000004"/>
    <x v="1"/>
    <n v="2016"/>
    <s v="Profit"/>
  </r>
  <r>
    <n v="4"/>
    <s v="US-2015-108966"/>
    <x v="2"/>
    <s v="Standard Class"/>
    <s v="SO-20335"/>
    <x v="2"/>
    <s v="Consumer"/>
    <s v="United States"/>
    <s v="Fort Lauderdale"/>
    <s v="Florida"/>
    <n v="33311"/>
    <x v="0"/>
    <s v="FUR-TA-10000577"/>
    <x v="0"/>
    <s v="Tables"/>
    <n v="957.57749999999999"/>
    <n v="5"/>
    <n v="0.45"/>
    <n v="-383.03100000000001"/>
    <x v="2"/>
    <n v="2015"/>
    <s v="Loss"/>
  </r>
  <r>
    <n v="5"/>
    <s v="US-2015-108966"/>
    <x v="2"/>
    <s v="Standard Class"/>
    <s v="SO-20335"/>
    <x v="2"/>
    <s v="Consumer"/>
    <s v="United States"/>
    <s v="Fort Lauderdale"/>
    <s v="Florida"/>
    <n v="33311"/>
    <x v="0"/>
    <s v="OFF-ST-10000760"/>
    <x v="1"/>
    <s v="Storage"/>
    <n v="22.367999999999999"/>
    <n v="2"/>
    <n v="0.2"/>
    <n v="2.5164"/>
    <x v="2"/>
    <n v="2015"/>
    <s v="Profit"/>
  </r>
  <r>
    <n v="6"/>
    <s v="CA-2014-115812"/>
    <x v="3"/>
    <s v="Standard Class"/>
    <s v="BH-11710"/>
    <x v="3"/>
    <s v="Consumer"/>
    <s v="United States"/>
    <s v="Los Angeles"/>
    <s v="California"/>
    <n v="90032"/>
    <x v="1"/>
    <s v="FUR-FU-10001487"/>
    <x v="0"/>
    <s v="Furnishings"/>
    <n v="48.86"/>
    <n v="7"/>
    <n v="0"/>
    <n v="14.1694"/>
    <x v="3"/>
    <n v="2014"/>
    <s v="Profit"/>
  </r>
  <r>
    <n v="7"/>
    <s v="CA-2014-115812"/>
    <x v="3"/>
    <s v="Standard Class"/>
    <s v="BH-11710"/>
    <x v="3"/>
    <s v="Consumer"/>
    <s v="United States"/>
    <s v="Los Angeles"/>
    <s v="California"/>
    <n v="90032"/>
    <x v="1"/>
    <s v="OFF-AR-10002833"/>
    <x v="1"/>
    <s v="Art"/>
    <n v="7.28"/>
    <n v="4"/>
    <n v="0"/>
    <n v="1.9656"/>
    <x v="3"/>
    <n v="2014"/>
    <s v="Profit"/>
  </r>
  <r>
    <n v="8"/>
    <s v="CA-2014-115812"/>
    <x v="3"/>
    <s v="Standard Class"/>
    <s v="BH-11710"/>
    <x v="3"/>
    <s v="Consumer"/>
    <s v="United States"/>
    <s v="Los Angeles"/>
    <s v="California"/>
    <n v="90032"/>
    <x v="1"/>
    <s v="TEC-PH-10002275"/>
    <x v="2"/>
    <s v="Phones"/>
    <n v="907.15200000000004"/>
    <n v="6"/>
    <n v="0.2"/>
    <n v="90.715199999999996"/>
    <x v="3"/>
    <n v="2014"/>
    <s v="Profit"/>
  </r>
  <r>
    <n v="9"/>
    <s v="CA-2014-115812"/>
    <x v="3"/>
    <s v="Standard Class"/>
    <s v="BH-11710"/>
    <x v="3"/>
    <s v="Consumer"/>
    <s v="United States"/>
    <s v="Los Angeles"/>
    <s v="California"/>
    <n v="90032"/>
    <x v="1"/>
    <s v="OFF-BI-10003910"/>
    <x v="1"/>
    <s v="Binders"/>
    <n v="18.504000000000001"/>
    <n v="3"/>
    <n v="0.2"/>
    <n v="5.7824999999999998"/>
    <x v="3"/>
    <n v="2014"/>
    <s v="Profit"/>
  </r>
  <r>
    <n v="10"/>
    <s v="CA-2014-115812"/>
    <x v="3"/>
    <s v="Standard Class"/>
    <s v="BH-11710"/>
    <x v="3"/>
    <s v="Consumer"/>
    <s v="United States"/>
    <s v="Los Angeles"/>
    <s v="California"/>
    <n v="90032"/>
    <x v="1"/>
    <s v="OFF-AP-10002892"/>
    <x v="1"/>
    <s v="Appliances"/>
    <n v="114.9"/>
    <n v="5"/>
    <n v="0"/>
    <n v="34.47"/>
    <x v="3"/>
    <n v="2014"/>
    <s v="Profit"/>
  </r>
  <r>
    <n v="11"/>
    <s v="CA-2014-115812"/>
    <x v="3"/>
    <s v="Standard Class"/>
    <s v="BH-11710"/>
    <x v="3"/>
    <s v="Consumer"/>
    <s v="United States"/>
    <s v="Los Angeles"/>
    <s v="California"/>
    <n v="90032"/>
    <x v="1"/>
    <s v="FUR-TA-10001539"/>
    <x v="0"/>
    <s v="Tables"/>
    <n v="1706.184"/>
    <n v="9"/>
    <n v="0.2"/>
    <n v="85.309200000000004"/>
    <x v="3"/>
    <n v="2014"/>
    <s v="Profit"/>
  </r>
  <r>
    <n v="12"/>
    <s v="CA-2014-115812"/>
    <x v="3"/>
    <s v="Standard Class"/>
    <s v="BH-11710"/>
    <x v="3"/>
    <s v="Consumer"/>
    <s v="United States"/>
    <s v="Los Angeles"/>
    <s v="California"/>
    <n v="90032"/>
    <x v="1"/>
    <s v="TEC-PH-10002033"/>
    <x v="2"/>
    <s v="Phones"/>
    <n v="911.42399999999998"/>
    <n v="4"/>
    <n v="0.2"/>
    <n v="68.356800000000007"/>
    <x v="3"/>
    <n v="2014"/>
    <s v="Profit"/>
  </r>
  <r>
    <n v="13"/>
    <s v="CA-2017-114412"/>
    <x v="4"/>
    <s v="Standard Class"/>
    <s v="AA-10480"/>
    <x v="4"/>
    <s v="Consumer"/>
    <s v="United States"/>
    <s v="Concord"/>
    <s v="North Carolina"/>
    <n v="28027"/>
    <x v="0"/>
    <s v="OFF-PA-10002365"/>
    <x v="1"/>
    <s v="Paper"/>
    <n v="15.552"/>
    <n v="3"/>
    <n v="0.2"/>
    <n v="5.4432"/>
    <x v="4"/>
    <n v="2017"/>
    <s v="Profit"/>
  </r>
  <r>
    <n v="14"/>
    <s v="CA-2016-161389"/>
    <x v="5"/>
    <s v="Standard Class"/>
    <s v="IM-15070"/>
    <x v="5"/>
    <s v="Consumer"/>
    <s v="United States"/>
    <s v="Seattle"/>
    <s v="Washington"/>
    <n v="98103"/>
    <x v="1"/>
    <s v="OFF-BI-10003656"/>
    <x v="1"/>
    <s v="Binders"/>
    <n v="407.976"/>
    <n v="3"/>
    <n v="0.2"/>
    <n v="132.59219999999999"/>
    <x v="5"/>
    <n v="2016"/>
    <s v="Profit"/>
  </r>
  <r>
    <n v="15"/>
    <s v="US-2015-118983"/>
    <x v="6"/>
    <s v="Standard Class"/>
    <s v="HP-14815"/>
    <x v="6"/>
    <s v="Home Office"/>
    <s v="United States"/>
    <s v="Fort Worth"/>
    <s v="Texas"/>
    <n v="76106"/>
    <x v="2"/>
    <s v="OFF-AP-10002311"/>
    <x v="1"/>
    <s v="Appliances"/>
    <n v="68.81"/>
    <n v="5"/>
    <n v="0.8"/>
    <n v="-123.858"/>
    <x v="2"/>
    <n v="2015"/>
    <s v="Loss"/>
  </r>
  <r>
    <n v="16"/>
    <s v="US-2015-118983"/>
    <x v="6"/>
    <s v="Standard Class"/>
    <s v="HP-14815"/>
    <x v="6"/>
    <s v="Home Office"/>
    <s v="United States"/>
    <s v="Fort Worth"/>
    <s v="Texas"/>
    <n v="76106"/>
    <x v="2"/>
    <s v="OFF-BI-10000756"/>
    <x v="1"/>
    <s v="Binders"/>
    <n v="2.544"/>
    <n v="3"/>
    <n v="0.8"/>
    <n v="-3.8159999999999998"/>
    <x v="2"/>
    <n v="2015"/>
    <s v="Loss"/>
  </r>
  <r>
    <n v="17"/>
    <s v="CA-2014-105893"/>
    <x v="7"/>
    <s v="Standard Class"/>
    <s v="PK-19075"/>
    <x v="7"/>
    <s v="Consumer"/>
    <s v="United States"/>
    <s v="Madison"/>
    <s v="Wisconsin"/>
    <n v="53711"/>
    <x v="2"/>
    <s v="OFF-ST-10004186"/>
    <x v="1"/>
    <s v="Storage"/>
    <n v="665.88"/>
    <n v="6"/>
    <n v="0"/>
    <n v="13.317600000000001"/>
    <x v="2"/>
    <n v="2014"/>
    <s v="Profit"/>
  </r>
  <r>
    <n v="18"/>
    <s v="CA-2014-167164"/>
    <x v="8"/>
    <s v="Second Class"/>
    <s v="AG-10270"/>
    <x v="8"/>
    <s v="Consumer"/>
    <s v="United States"/>
    <s v="West Jordan"/>
    <s v="Utah"/>
    <n v="84084"/>
    <x v="1"/>
    <s v="OFF-ST-10000107"/>
    <x v="1"/>
    <s v="Storage"/>
    <n v="55.5"/>
    <n v="2"/>
    <n v="0"/>
    <n v="9.99"/>
    <x v="5"/>
    <n v="2014"/>
    <s v="Profit"/>
  </r>
  <r>
    <n v="19"/>
    <s v="CA-2014-143336"/>
    <x v="9"/>
    <s v="Second Class"/>
    <s v="ZD-21925"/>
    <x v="9"/>
    <s v="Consumer"/>
    <s v="United States"/>
    <s v="San Francisco"/>
    <s v="California"/>
    <n v="94109"/>
    <x v="1"/>
    <s v="OFF-AR-10003056"/>
    <x v="1"/>
    <s v="Art"/>
    <n v="8.56"/>
    <n v="2"/>
    <n v="0"/>
    <n v="2.4824000000000002"/>
    <x v="0"/>
    <n v="2014"/>
    <s v="Profit"/>
  </r>
  <r>
    <n v="20"/>
    <s v="CA-2014-143336"/>
    <x v="9"/>
    <s v="Second Class"/>
    <s v="ZD-21925"/>
    <x v="9"/>
    <s v="Consumer"/>
    <s v="United States"/>
    <s v="San Francisco"/>
    <s v="California"/>
    <n v="94109"/>
    <x v="1"/>
    <s v="TEC-PH-10001949"/>
    <x v="2"/>
    <s v="Phones"/>
    <n v="213.48"/>
    <n v="3"/>
    <n v="0.2"/>
    <n v="16.010999999999999"/>
    <x v="0"/>
    <n v="2014"/>
    <s v="Profit"/>
  </r>
  <r>
    <n v="21"/>
    <s v="CA-2014-143336"/>
    <x v="9"/>
    <s v="Second Class"/>
    <s v="ZD-21925"/>
    <x v="9"/>
    <s v="Consumer"/>
    <s v="United States"/>
    <s v="San Francisco"/>
    <s v="California"/>
    <n v="94109"/>
    <x v="1"/>
    <s v="OFF-BI-10002215"/>
    <x v="1"/>
    <s v="Binders"/>
    <n v="22.72"/>
    <n v="4"/>
    <n v="0.2"/>
    <n v="7.3840000000000003"/>
    <x v="0"/>
    <n v="2014"/>
    <s v="Profit"/>
  </r>
  <r>
    <n v="22"/>
    <s v="CA-2016-137330"/>
    <x v="10"/>
    <s v="Standard Class"/>
    <s v="KB-16585"/>
    <x v="10"/>
    <s v="Corporate"/>
    <s v="United States"/>
    <s v="Fremont"/>
    <s v="Nebraska"/>
    <n v="68025"/>
    <x v="2"/>
    <s v="OFF-AR-10000246"/>
    <x v="1"/>
    <s v="Art"/>
    <n v="19.46"/>
    <n v="7"/>
    <n v="0"/>
    <n v="5.0595999999999997"/>
    <x v="3"/>
    <n v="2016"/>
    <s v="Profit"/>
  </r>
  <r>
    <n v="23"/>
    <s v="CA-2016-137330"/>
    <x v="10"/>
    <s v="Standard Class"/>
    <s v="KB-16585"/>
    <x v="10"/>
    <s v="Corporate"/>
    <s v="United States"/>
    <s v="Fremont"/>
    <s v="Nebraska"/>
    <n v="68025"/>
    <x v="2"/>
    <s v="OFF-AP-10001492"/>
    <x v="1"/>
    <s v="Appliances"/>
    <n v="60.34"/>
    <n v="7"/>
    <n v="0"/>
    <n v="15.6884"/>
    <x v="3"/>
    <n v="2016"/>
    <s v="Profit"/>
  </r>
  <r>
    <n v="24"/>
    <s v="US-2017-156909"/>
    <x v="11"/>
    <s v="Second Class"/>
    <s v="SF-20065"/>
    <x v="11"/>
    <s v="Consumer"/>
    <s v="United States"/>
    <s v="Philadelphia"/>
    <s v="Pennsylvania"/>
    <n v="19140"/>
    <x v="3"/>
    <s v="FUR-CH-10002774"/>
    <x v="0"/>
    <s v="Chairs"/>
    <n v="71.372"/>
    <n v="2"/>
    <n v="0.3"/>
    <n v="-1.0196000000000001"/>
    <x v="6"/>
    <n v="2017"/>
    <s v="Loss"/>
  </r>
  <r>
    <n v="25"/>
    <s v="CA-2015-106320"/>
    <x v="12"/>
    <s v="Standard Class"/>
    <s v="EB-13870"/>
    <x v="12"/>
    <s v="Consumer"/>
    <s v="United States"/>
    <s v="Orem"/>
    <s v="Utah"/>
    <n v="84057"/>
    <x v="1"/>
    <s v="FUR-TA-10000577"/>
    <x v="0"/>
    <s v="Tables"/>
    <n v="1044.6300000000001"/>
    <n v="3"/>
    <n v="0"/>
    <n v="240.26490000000001"/>
    <x v="3"/>
    <n v="2015"/>
    <s v="Profit"/>
  </r>
  <r>
    <n v="26"/>
    <s v="CA-2016-121755"/>
    <x v="13"/>
    <s v="Second Class"/>
    <s v="EH-13945"/>
    <x v="13"/>
    <s v="Consumer"/>
    <s v="United States"/>
    <s v="Los Angeles"/>
    <s v="California"/>
    <n v="90049"/>
    <x v="1"/>
    <s v="OFF-BI-10001634"/>
    <x v="1"/>
    <s v="Binders"/>
    <n v="11.648"/>
    <n v="2"/>
    <n v="0.2"/>
    <n v="4.2224000000000004"/>
    <x v="7"/>
    <n v="2016"/>
    <s v="Profit"/>
  </r>
  <r>
    <n v="27"/>
    <s v="CA-2016-121755"/>
    <x v="13"/>
    <s v="Second Class"/>
    <s v="EH-13945"/>
    <x v="13"/>
    <s v="Consumer"/>
    <s v="United States"/>
    <s v="Los Angeles"/>
    <s v="California"/>
    <n v="90049"/>
    <x v="1"/>
    <s v="TEC-AC-10003027"/>
    <x v="2"/>
    <s v="Accessories"/>
    <n v="90.57"/>
    <n v="3"/>
    <n v="0"/>
    <n v="11.774100000000001"/>
    <x v="7"/>
    <n v="2016"/>
    <s v="Profit"/>
  </r>
  <r>
    <n v="28"/>
    <s v="US-2015-150630"/>
    <x v="14"/>
    <s v="Standard Class"/>
    <s v="TB-21520"/>
    <x v="14"/>
    <s v="Consumer"/>
    <s v="United States"/>
    <s v="Philadelphia"/>
    <s v="Pennsylvania"/>
    <n v="19140"/>
    <x v="3"/>
    <s v="FUR-BO-10004834"/>
    <x v="0"/>
    <s v="Bookcases"/>
    <n v="3083.43"/>
    <n v="7"/>
    <n v="0.5"/>
    <n v="-1665.0522000000001"/>
    <x v="3"/>
    <n v="2015"/>
    <s v="Loss"/>
  </r>
  <r>
    <n v="29"/>
    <s v="US-2015-150630"/>
    <x v="14"/>
    <s v="Standard Class"/>
    <s v="TB-21520"/>
    <x v="14"/>
    <s v="Consumer"/>
    <s v="United States"/>
    <s v="Philadelphia"/>
    <s v="Pennsylvania"/>
    <n v="19140"/>
    <x v="3"/>
    <s v="OFF-BI-10000474"/>
    <x v="1"/>
    <s v="Binders"/>
    <n v="9.6180000000000003"/>
    <n v="2"/>
    <n v="0.7"/>
    <n v="-7.0532000000000004"/>
    <x v="3"/>
    <n v="2015"/>
    <s v="Loss"/>
  </r>
  <r>
    <n v="30"/>
    <s v="US-2015-150630"/>
    <x v="14"/>
    <s v="Standard Class"/>
    <s v="TB-21520"/>
    <x v="14"/>
    <s v="Consumer"/>
    <s v="United States"/>
    <s v="Philadelphia"/>
    <s v="Pennsylvania"/>
    <n v="19140"/>
    <x v="3"/>
    <s v="FUR-FU-10004848"/>
    <x v="0"/>
    <s v="Furnishings"/>
    <n v="124.2"/>
    <n v="3"/>
    <n v="0.2"/>
    <n v="15.525"/>
    <x v="3"/>
    <n v="2015"/>
    <s v="Profit"/>
  </r>
  <r>
    <n v="31"/>
    <s v="US-2015-150630"/>
    <x v="14"/>
    <s v="Standard Class"/>
    <s v="TB-21520"/>
    <x v="14"/>
    <s v="Consumer"/>
    <s v="United States"/>
    <s v="Philadelphia"/>
    <s v="Pennsylvania"/>
    <n v="19140"/>
    <x v="3"/>
    <s v="OFF-EN-10001509"/>
    <x v="1"/>
    <s v="Envelopes"/>
    <n v="3.2639999999999998"/>
    <n v="2"/>
    <n v="0.2"/>
    <n v="1.1015999999999999"/>
    <x v="3"/>
    <n v="2015"/>
    <s v="Profit"/>
  </r>
  <r>
    <n v="32"/>
    <s v="US-2015-150630"/>
    <x v="14"/>
    <s v="Standard Class"/>
    <s v="TB-21520"/>
    <x v="14"/>
    <s v="Consumer"/>
    <s v="United States"/>
    <s v="Philadelphia"/>
    <s v="Pennsylvania"/>
    <n v="19140"/>
    <x v="3"/>
    <s v="OFF-AR-10004042"/>
    <x v="1"/>
    <s v="Art"/>
    <n v="86.304000000000002"/>
    <n v="6"/>
    <n v="0.2"/>
    <n v="9.7091999999999992"/>
    <x v="3"/>
    <n v="2015"/>
    <s v="Profit"/>
  </r>
  <r>
    <n v="33"/>
    <s v="US-2015-150630"/>
    <x v="14"/>
    <s v="Standard Class"/>
    <s v="TB-21520"/>
    <x v="14"/>
    <s v="Consumer"/>
    <s v="United States"/>
    <s v="Philadelphia"/>
    <s v="Pennsylvania"/>
    <n v="19140"/>
    <x v="3"/>
    <s v="OFF-BI-10001525"/>
    <x v="1"/>
    <s v="Binders"/>
    <n v="6.8579999999999997"/>
    <n v="6"/>
    <n v="0.7"/>
    <n v="-5.7149999999999999"/>
    <x v="3"/>
    <n v="2015"/>
    <s v="Loss"/>
  </r>
  <r>
    <n v="34"/>
    <s v="US-2015-150630"/>
    <x v="14"/>
    <s v="Standard Class"/>
    <s v="TB-21520"/>
    <x v="14"/>
    <s v="Consumer"/>
    <s v="United States"/>
    <s v="Philadelphia"/>
    <s v="Pennsylvania"/>
    <n v="19140"/>
    <x v="3"/>
    <s v="OFF-AR-10001683"/>
    <x v="1"/>
    <s v="Art"/>
    <n v="15.76"/>
    <n v="2"/>
    <n v="0.2"/>
    <n v="3.5459999999999998"/>
    <x v="3"/>
    <n v="2015"/>
    <s v="Profit"/>
  </r>
  <r>
    <n v="35"/>
    <s v="CA-2017-107727"/>
    <x v="15"/>
    <s v="Second Class"/>
    <s v="MA-17560"/>
    <x v="15"/>
    <s v="Home Office"/>
    <s v="United States"/>
    <s v="Houston"/>
    <s v="Texas"/>
    <n v="77095"/>
    <x v="2"/>
    <s v="OFF-PA-10000249"/>
    <x v="1"/>
    <s v="Paper"/>
    <n v="29.472000000000001"/>
    <n v="3"/>
    <n v="0.2"/>
    <n v="9.9467999999999996"/>
    <x v="8"/>
    <n v="2017"/>
    <s v="Profit"/>
  </r>
  <r>
    <n v="36"/>
    <s v="CA-2016-117590"/>
    <x v="16"/>
    <s v="First Class"/>
    <s v="GH-14485"/>
    <x v="16"/>
    <s v="Corporate"/>
    <s v="United States"/>
    <s v="Richardson"/>
    <s v="Texas"/>
    <n v="75080"/>
    <x v="2"/>
    <s v="TEC-PH-10004977"/>
    <x v="2"/>
    <s v="Phones"/>
    <n v="1097.5440000000001"/>
    <n v="7"/>
    <n v="0.2"/>
    <n v="123.47369999999999"/>
    <x v="0"/>
    <n v="2016"/>
    <s v="Profit"/>
  </r>
  <r>
    <n v="37"/>
    <s v="CA-2016-117590"/>
    <x v="16"/>
    <s v="First Class"/>
    <s v="GH-14485"/>
    <x v="16"/>
    <s v="Corporate"/>
    <s v="United States"/>
    <s v="Richardson"/>
    <s v="Texas"/>
    <n v="75080"/>
    <x v="2"/>
    <s v="FUR-FU-10003664"/>
    <x v="0"/>
    <s v="Furnishings"/>
    <n v="190.92"/>
    <n v="5"/>
    <n v="0.6"/>
    <n v="-147.96299999999999"/>
    <x v="0"/>
    <n v="2016"/>
    <s v="Loss"/>
  </r>
  <r>
    <n v="38"/>
    <s v="CA-2015-117415"/>
    <x v="17"/>
    <s v="Standard Class"/>
    <s v="SN-20710"/>
    <x v="17"/>
    <s v="Home Office"/>
    <s v="United States"/>
    <s v="Houston"/>
    <s v="Texas"/>
    <n v="77041"/>
    <x v="2"/>
    <s v="OFF-EN-10002986"/>
    <x v="1"/>
    <s v="Envelopes"/>
    <n v="113.328"/>
    <n v="9"/>
    <n v="0.2"/>
    <n v="35.414999999999999"/>
    <x v="1"/>
    <n v="2015"/>
    <s v="Profit"/>
  </r>
  <r>
    <n v="39"/>
    <s v="CA-2015-117415"/>
    <x v="17"/>
    <s v="Standard Class"/>
    <s v="SN-20710"/>
    <x v="17"/>
    <s v="Home Office"/>
    <s v="United States"/>
    <s v="Houston"/>
    <s v="Texas"/>
    <n v="77041"/>
    <x v="2"/>
    <s v="FUR-BO-10002545"/>
    <x v="0"/>
    <s v="Bookcases"/>
    <n v="532.39919999999995"/>
    <n v="3"/>
    <n v="0.32"/>
    <n v="-46.976399999999998"/>
    <x v="1"/>
    <n v="2015"/>
    <s v="Loss"/>
  </r>
  <r>
    <n v="40"/>
    <s v="CA-2015-117415"/>
    <x v="17"/>
    <s v="Standard Class"/>
    <s v="SN-20710"/>
    <x v="17"/>
    <s v="Home Office"/>
    <s v="United States"/>
    <s v="Houston"/>
    <s v="Texas"/>
    <n v="77041"/>
    <x v="2"/>
    <s v="FUR-CH-10004218"/>
    <x v="0"/>
    <s v="Chairs"/>
    <n v="212.05799999999999"/>
    <n v="3"/>
    <n v="0.3"/>
    <n v="-15.147"/>
    <x v="1"/>
    <n v="2015"/>
    <s v="Loss"/>
  </r>
  <r>
    <n v="41"/>
    <s v="CA-2015-117415"/>
    <x v="17"/>
    <s v="Standard Class"/>
    <s v="SN-20710"/>
    <x v="17"/>
    <s v="Home Office"/>
    <s v="United States"/>
    <s v="Houston"/>
    <s v="Texas"/>
    <n v="77041"/>
    <x v="2"/>
    <s v="TEC-PH-10000486"/>
    <x v="2"/>
    <s v="Phones"/>
    <n v="371.16800000000001"/>
    <n v="4"/>
    <n v="0.2"/>
    <n v="41.756399999999999"/>
    <x v="1"/>
    <n v="2015"/>
    <s v="Profit"/>
  </r>
  <r>
    <n v="42"/>
    <s v="CA-2017-120999"/>
    <x v="18"/>
    <s v="Standard Class"/>
    <s v="LC-16930"/>
    <x v="18"/>
    <s v="Corporate"/>
    <s v="United States"/>
    <s v="Naperville"/>
    <s v="Illinois"/>
    <n v="60540"/>
    <x v="2"/>
    <s v="TEC-PH-10004093"/>
    <x v="2"/>
    <s v="Phones"/>
    <n v="147.16800000000001"/>
    <n v="4"/>
    <n v="0.2"/>
    <n v="16.5564"/>
    <x v="8"/>
    <n v="2017"/>
    <s v="Profit"/>
  </r>
  <r>
    <n v="43"/>
    <s v="CA-2016-101343"/>
    <x v="19"/>
    <s v="Standard Class"/>
    <s v="RA-19885"/>
    <x v="19"/>
    <s v="Corporate"/>
    <s v="United States"/>
    <s v="Los Angeles"/>
    <s v="California"/>
    <n v="90049"/>
    <x v="1"/>
    <s v="OFF-ST-10003479"/>
    <x v="1"/>
    <s v="Storage"/>
    <n v="77.88"/>
    <n v="2"/>
    <n v="0"/>
    <n v="3.8940000000000001"/>
    <x v="6"/>
    <n v="2016"/>
    <s v="Profit"/>
  </r>
  <r>
    <n v="44"/>
    <s v="CA-2017-139619"/>
    <x v="20"/>
    <s v="Standard Class"/>
    <s v="ES-14080"/>
    <x v="20"/>
    <s v="Corporate"/>
    <s v="United States"/>
    <s v="Melbourne"/>
    <s v="Florida"/>
    <n v="32935"/>
    <x v="0"/>
    <s v="OFF-ST-10003282"/>
    <x v="1"/>
    <s v="Storage"/>
    <n v="95.616"/>
    <n v="2"/>
    <n v="0.2"/>
    <n v="9.5616000000000003"/>
    <x v="3"/>
    <n v="2017"/>
    <s v="Profit"/>
  </r>
  <r>
    <n v="45"/>
    <s v="CA-2016-118255"/>
    <x v="21"/>
    <s v="First Class"/>
    <s v="ON-18715"/>
    <x v="21"/>
    <s v="Corporate"/>
    <s v="United States"/>
    <s v="Eagan"/>
    <s v="Minnesota"/>
    <n v="55122"/>
    <x v="2"/>
    <s v="TEC-AC-10000171"/>
    <x v="2"/>
    <s v="Accessories"/>
    <n v="45.98"/>
    <n v="2"/>
    <n v="0"/>
    <n v="19.7714"/>
    <x v="2"/>
    <n v="2016"/>
    <s v="Profit"/>
  </r>
  <r>
    <n v="46"/>
    <s v="CA-2016-118255"/>
    <x v="21"/>
    <s v="First Class"/>
    <s v="ON-18715"/>
    <x v="21"/>
    <s v="Corporate"/>
    <s v="United States"/>
    <s v="Eagan"/>
    <s v="Minnesota"/>
    <n v="55122"/>
    <x v="2"/>
    <s v="OFF-BI-10003291"/>
    <x v="1"/>
    <s v="Binders"/>
    <n v="17.46"/>
    <n v="2"/>
    <n v="0"/>
    <n v="8.2062000000000008"/>
    <x v="2"/>
    <n v="2016"/>
    <s v="Profit"/>
  </r>
  <r>
    <n v="47"/>
    <s v="CA-2014-146703"/>
    <x v="22"/>
    <s v="Second Class"/>
    <s v="PO-18865"/>
    <x v="22"/>
    <s v="Consumer"/>
    <s v="United States"/>
    <s v="Westland"/>
    <s v="Michigan"/>
    <n v="48185"/>
    <x v="2"/>
    <s v="OFF-ST-10001713"/>
    <x v="1"/>
    <s v="Storage"/>
    <n v="211.96"/>
    <n v="4"/>
    <n v="0"/>
    <n v="8.4784000000000006"/>
    <x v="8"/>
    <n v="2014"/>
    <s v="Profit"/>
  </r>
  <r>
    <n v="48"/>
    <s v="CA-2016-169194"/>
    <x v="23"/>
    <s v="Standard Class"/>
    <s v="LH-16900"/>
    <x v="23"/>
    <s v="Consumer"/>
    <s v="United States"/>
    <s v="Dover"/>
    <s v="Delaware"/>
    <n v="19901"/>
    <x v="3"/>
    <s v="TEC-AC-10002167"/>
    <x v="2"/>
    <s v="Accessories"/>
    <n v="45"/>
    <n v="3"/>
    <n v="0"/>
    <n v="4.95"/>
    <x v="9"/>
    <n v="2016"/>
    <s v="Profit"/>
  </r>
  <r>
    <n v="49"/>
    <s v="CA-2016-169194"/>
    <x v="23"/>
    <s v="Standard Class"/>
    <s v="LH-16900"/>
    <x v="23"/>
    <s v="Consumer"/>
    <s v="United States"/>
    <s v="Dover"/>
    <s v="Delaware"/>
    <n v="19901"/>
    <x v="3"/>
    <s v="TEC-PH-10003988"/>
    <x v="2"/>
    <s v="Phones"/>
    <n v="21.8"/>
    <n v="2"/>
    <n v="0"/>
    <n v="6.1040000000000001"/>
    <x v="9"/>
    <n v="2016"/>
    <s v="Profit"/>
  </r>
  <r>
    <n v="50"/>
    <s v="CA-2015-115742"/>
    <x v="24"/>
    <s v="Standard Class"/>
    <s v="DP-13000"/>
    <x v="24"/>
    <s v="Consumer"/>
    <s v="United States"/>
    <s v="New Albany"/>
    <s v="Indiana"/>
    <n v="47150"/>
    <x v="2"/>
    <s v="OFF-BI-10004410"/>
    <x v="1"/>
    <s v="Binders"/>
    <n v="38.22"/>
    <n v="6"/>
    <n v="0"/>
    <n v="17.9634"/>
    <x v="4"/>
    <n v="2015"/>
    <s v="Profit"/>
  </r>
  <r>
    <n v="51"/>
    <s v="CA-2015-115742"/>
    <x v="24"/>
    <s v="Standard Class"/>
    <s v="DP-13000"/>
    <x v="24"/>
    <s v="Consumer"/>
    <s v="United States"/>
    <s v="New Albany"/>
    <s v="Indiana"/>
    <n v="47150"/>
    <x v="2"/>
    <s v="OFF-LA-10002762"/>
    <x v="1"/>
    <s v="Labels"/>
    <n v="75.180000000000007"/>
    <n v="6"/>
    <n v="0"/>
    <n v="35.334600000000002"/>
    <x v="4"/>
    <n v="2015"/>
    <s v="Profit"/>
  </r>
  <r>
    <n v="52"/>
    <s v="CA-2015-115742"/>
    <x v="24"/>
    <s v="Standard Class"/>
    <s v="DP-13000"/>
    <x v="24"/>
    <s v="Consumer"/>
    <s v="United States"/>
    <s v="New Albany"/>
    <s v="Indiana"/>
    <n v="47150"/>
    <x v="2"/>
    <s v="FUR-FU-10001706"/>
    <x v="0"/>
    <s v="Furnishings"/>
    <n v="6.16"/>
    <n v="2"/>
    <n v="0"/>
    <n v="2.9567999999999999"/>
    <x v="4"/>
    <n v="2015"/>
    <s v="Profit"/>
  </r>
  <r>
    <n v="53"/>
    <s v="CA-2015-115742"/>
    <x v="24"/>
    <s v="Standard Class"/>
    <s v="DP-13000"/>
    <x v="24"/>
    <s v="Consumer"/>
    <s v="United States"/>
    <s v="New Albany"/>
    <s v="Indiana"/>
    <n v="47150"/>
    <x v="2"/>
    <s v="FUR-CH-10003061"/>
    <x v="0"/>
    <s v="Chairs"/>
    <n v="89.99"/>
    <n v="1"/>
    <n v="0"/>
    <n v="17.098099999999999"/>
    <x v="4"/>
    <n v="2015"/>
    <s v="Profit"/>
  </r>
  <r>
    <n v="54"/>
    <s v="CA-2016-105816"/>
    <x v="25"/>
    <s v="Standard Class"/>
    <s v="JM-15265"/>
    <x v="25"/>
    <s v="Corporate"/>
    <s v="United States"/>
    <s v="New York City"/>
    <s v="New York"/>
    <n v="10024"/>
    <x v="3"/>
    <s v="OFF-FA-10000304"/>
    <x v="1"/>
    <s v="Fasteners"/>
    <n v="15.26"/>
    <n v="7"/>
    <n v="0"/>
    <n v="6.2565999999999997"/>
    <x v="2"/>
    <n v="2016"/>
    <s v="Profit"/>
  </r>
  <r>
    <n v="55"/>
    <s v="CA-2016-105816"/>
    <x v="25"/>
    <s v="Standard Class"/>
    <s v="JM-15265"/>
    <x v="25"/>
    <s v="Corporate"/>
    <s v="United States"/>
    <s v="New York City"/>
    <s v="New York"/>
    <n v="10024"/>
    <x v="3"/>
    <s v="TEC-PH-10002447"/>
    <x v="2"/>
    <s v="Phones"/>
    <n v="1029.95"/>
    <n v="5"/>
    <n v="0"/>
    <n v="298.68549999999999"/>
    <x v="2"/>
    <n v="2016"/>
    <s v="Profit"/>
  </r>
  <r>
    <n v="56"/>
    <s v="CA-2016-111682"/>
    <x v="26"/>
    <s v="First Class"/>
    <s v="TB-21055"/>
    <x v="26"/>
    <s v="Consumer"/>
    <s v="United States"/>
    <s v="Troy"/>
    <s v="New York"/>
    <n v="12180"/>
    <x v="3"/>
    <s v="OFF-ST-10000604"/>
    <x v="1"/>
    <s v="Storage"/>
    <n v="208.56"/>
    <n v="6"/>
    <n v="0"/>
    <n v="52.14"/>
    <x v="9"/>
    <n v="2016"/>
    <s v="Profit"/>
  </r>
  <r>
    <n v="57"/>
    <s v="CA-2016-111682"/>
    <x v="26"/>
    <s v="First Class"/>
    <s v="TB-21055"/>
    <x v="26"/>
    <s v="Consumer"/>
    <s v="United States"/>
    <s v="Troy"/>
    <s v="New York"/>
    <n v="12180"/>
    <x v="3"/>
    <s v="OFF-PA-10001569"/>
    <x v="1"/>
    <s v="Paper"/>
    <n v="32.4"/>
    <n v="5"/>
    <n v="0"/>
    <n v="15.552"/>
    <x v="9"/>
    <n v="2016"/>
    <s v="Profit"/>
  </r>
  <r>
    <n v="58"/>
    <s v="CA-2016-111682"/>
    <x v="26"/>
    <s v="First Class"/>
    <s v="TB-21055"/>
    <x v="26"/>
    <s v="Consumer"/>
    <s v="United States"/>
    <s v="Troy"/>
    <s v="New York"/>
    <n v="12180"/>
    <x v="3"/>
    <s v="FUR-CH-10003968"/>
    <x v="0"/>
    <s v="Chairs"/>
    <n v="319.41000000000003"/>
    <n v="5"/>
    <n v="0.1"/>
    <n v="7.0979999999999999"/>
    <x v="9"/>
    <n v="2016"/>
    <s v="Profit"/>
  </r>
  <r>
    <n v="59"/>
    <s v="CA-2016-111682"/>
    <x v="26"/>
    <s v="First Class"/>
    <s v="TB-21055"/>
    <x v="26"/>
    <s v="Consumer"/>
    <s v="United States"/>
    <s v="Troy"/>
    <s v="New York"/>
    <n v="12180"/>
    <x v="3"/>
    <s v="OFF-PA-10000587"/>
    <x v="1"/>
    <s v="Paper"/>
    <n v="14.56"/>
    <n v="2"/>
    <n v="0"/>
    <n v="6.9888000000000003"/>
    <x v="9"/>
    <n v="2016"/>
    <s v="Profit"/>
  </r>
  <r>
    <n v="60"/>
    <s v="CA-2016-111682"/>
    <x v="26"/>
    <s v="First Class"/>
    <s v="TB-21055"/>
    <x v="26"/>
    <s v="Consumer"/>
    <s v="United States"/>
    <s v="Troy"/>
    <s v="New York"/>
    <n v="12180"/>
    <x v="3"/>
    <s v="TEC-AC-10002167"/>
    <x v="2"/>
    <s v="Accessories"/>
    <n v="30"/>
    <n v="2"/>
    <n v="0"/>
    <n v="3.3"/>
    <x v="9"/>
    <n v="2016"/>
    <s v="Profit"/>
  </r>
  <r>
    <n v="61"/>
    <s v="CA-2016-111682"/>
    <x v="26"/>
    <s v="First Class"/>
    <s v="TB-21055"/>
    <x v="26"/>
    <s v="Consumer"/>
    <s v="United States"/>
    <s v="Troy"/>
    <s v="New York"/>
    <n v="12180"/>
    <x v="3"/>
    <s v="OFF-BI-10001460"/>
    <x v="1"/>
    <s v="Binders"/>
    <n v="48.48"/>
    <n v="4"/>
    <n v="0.2"/>
    <n v="16.361999999999998"/>
    <x v="9"/>
    <n v="2016"/>
    <s v="Profit"/>
  </r>
  <r>
    <n v="62"/>
    <s v="CA-2016-111682"/>
    <x v="26"/>
    <s v="First Class"/>
    <s v="TB-21055"/>
    <x v="26"/>
    <s v="Consumer"/>
    <s v="United States"/>
    <s v="Troy"/>
    <s v="New York"/>
    <n v="12180"/>
    <x v="3"/>
    <s v="OFF-AR-10001868"/>
    <x v="1"/>
    <s v="Art"/>
    <n v="1.68"/>
    <n v="1"/>
    <n v="0"/>
    <n v="0.84"/>
    <x v="9"/>
    <n v="2016"/>
    <s v="Profit"/>
  </r>
  <r>
    <n v="63"/>
    <s v="CA-2015-135545"/>
    <x v="27"/>
    <s v="Standard Class"/>
    <s v="KM-16720"/>
    <x v="27"/>
    <s v="Consumer"/>
    <s v="United States"/>
    <s v="Los Angeles"/>
    <s v="California"/>
    <n v="90004"/>
    <x v="1"/>
    <s v="TEC-AC-10004633"/>
    <x v="2"/>
    <s v="Accessories"/>
    <n v="13.98"/>
    <n v="2"/>
    <n v="0"/>
    <n v="6.1512000000000002"/>
    <x v="2"/>
    <n v="2015"/>
    <s v="Profit"/>
  </r>
  <r>
    <n v="64"/>
    <s v="CA-2015-135545"/>
    <x v="27"/>
    <s v="Standard Class"/>
    <s v="KM-16720"/>
    <x v="27"/>
    <s v="Consumer"/>
    <s v="United States"/>
    <s v="Los Angeles"/>
    <s v="California"/>
    <n v="90004"/>
    <x v="1"/>
    <s v="OFF-BI-10001078"/>
    <x v="1"/>
    <s v="Binders"/>
    <n v="25.824000000000002"/>
    <n v="6"/>
    <n v="0.2"/>
    <n v="9.3612000000000002"/>
    <x v="2"/>
    <n v="2015"/>
    <s v="Profit"/>
  </r>
  <r>
    <n v="65"/>
    <s v="CA-2015-135545"/>
    <x v="27"/>
    <s v="Standard Class"/>
    <s v="KM-16720"/>
    <x v="27"/>
    <s v="Consumer"/>
    <s v="United States"/>
    <s v="Los Angeles"/>
    <s v="California"/>
    <n v="90004"/>
    <x v="1"/>
    <s v="OFF-PA-10003892"/>
    <x v="1"/>
    <s v="Paper"/>
    <n v="146.72999999999999"/>
    <n v="3"/>
    <n v="0"/>
    <n v="68.963099999999997"/>
    <x v="2"/>
    <n v="2015"/>
    <s v="Profit"/>
  </r>
  <r>
    <n v="66"/>
    <s v="CA-2015-135545"/>
    <x v="27"/>
    <s v="Standard Class"/>
    <s v="KM-16720"/>
    <x v="27"/>
    <s v="Consumer"/>
    <s v="United States"/>
    <s v="Los Angeles"/>
    <s v="California"/>
    <n v="90004"/>
    <x v="1"/>
    <s v="FUR-FU-10000397"/>
    <x v="0"/>
    <s v="Furnishings"/>
    <n v="79.760000000000005"/>
    <n v="4"/>
    <n v="0"/>
    <n v="22.332799999999999"/>
    <x v="2"/>
    <n v="2015"/>
    <s v="Profit"/>
  </r>
  <r>
    <n v="67"/>
    <s v="US-2015-164175"/>
    <x v="28"/>
    <s v="Standard Class"/>
    <s v="PS-18970"/>
    <x v="28"/>
    <s v="Home Office"/>
    <s v="United States"/>
    <s v="Chicago"/>
    <s v="Illinois"/>
    <n v="60610"/>
    <x v="2"/>
    <s v="FUR-CH-10001146"/>
    <x v="0"/>
    <s v="Chairs"/>
    <n v="213.11500000000001"/>
    <n v="5"/>
    <n v="0.3"/>
    <n v="-15.2225"/>
    <x v="4"/>
    <n v="2015"/>
    <s v="Loss"/>
  </r>
  <r>
    <n v="68"/>
    <s v="CA-2014-106376"/>
    <x v="29"/>
    <s v="Standard Class"/>
    <s v="BS-11590"/>
    <x v="29"/>
    <s v="Corporate"/>
    <s v="United States"/>
    <s v="Gilbert"/>
    <s v="Arizona"/>
    <n v="85234"/>
    <x v="1"/>
    <s v="OFF-AR-10002671"/>
    <x v="1"/>
    <s v="Art"/>
    <n v="1113.0239999999999"/>
    <n v="8"/>
    <n v="0.2"/>
    <n v="111.30240000000001"/>
    <x v="5"/>
    <n v="2014"/>
    <s v="Profit"/>
  </r>
  <r>
    <n v="69"/>
    <s v="CA-2014-106376"/>
    <x v="29"/>
    <s v="Standard Class"/>
    <s v="BS-11590"/>
    <x v="29"/>
    <s v="Corporate"/>
    <s v="United States"/>
    <s v="Gilbert"/>
    <s v="Arizona"/>
    <n v="85234"/>
    <x v="1"/>
    <s v="TEC-PH-10002726"/>
    <x v="2"/>
    <s v="Phones"/>
    <n v="167.96799999999999"/>
    <n v="4"/>
    <n v="0.2"/>
    <n v="62.988"/>
    <x v="5"/>
    <n v="2014"/>
    <s v="Profit"/>
  </r>
  <r>
    <n v="70"/>
    <s v="CA-2016-119823"/>
    <x v="30"/>
    <s v="First Class"/>
    <s v="KD-16270"/>
    <x v="30"/>
    <s v="Consumer"/>
    <s v="United States"/>
    <s v="Springfield"/>
    <s v="Virginia"/>
    <n v="22153"/>
    <x v="0"/>
    <s v="OFF-PA-10000482"/>
    <x v="1"/>
    <s v="Paper"/>
    <n v="75.88"/>
    <n v="2"/>
    <n v="0"/>
    <n v="35.663600000000002"/>
    <x v="4"/>
    <n v="2016"/>
    <s v="Profit"/>
  </r>
  <r>
    <n v="71"/>
    <s v="CA-2016-106075"/>
    <x v="31"/>
    <s v="Standard Class"/>
    <s v="HM-14980"/>
    <x v="31"/>
    <s v="Consumer"/>
    <s v="United States"/>
    <s v="New York City"/>
    <s v="New York"/>
    <n v="10009"/>
    <x v="3"/>
    <s v="OFF-BI-10004654"/>
    <x v="1"/>
    <s v="Binders"/>
    <n v="4.6159999999999997"/>
    <n v="1"/>
    <n v="0.2"/>
    <n v="1.7310000000000001"/>
    <x v="3"/>
    <n v="2016"/>
    <s v="Profit"/>
  </r>
  <r>
    <n v="72"/>
    <s v="CA-2017-114440"/>
    <x v="32"/>
    <s v="Second Class"/>
    <s v="TB-21520"/>
    <x v="14"/>
    <s v="Consumer"/>
    <s v="United States"/>
    <s v="Jackson"/>
    <s v="Michigan"/>
    <n v="49201"/>
    <x v="2"/>
    <s v="OFF-PA-10004675"/>
    <x v="1"/>
    <s v="Paper"/>
    <n v="19.05"/>
    <n v="3"/>
    <n v="0"/>
    <n v="8.7629999999999999"/>
    <x v="3"/>
    <n v="2017"/>
    <s v="Profit"/>
  </r>
  <r>
    <n v="73"/>
    <s v="US-2015-134026"/>
    <x v="33"/>
    <s v="Standard Class"/>
    <s v="JE-15745"/>
    <x v="32"/>
    <s v="Consumer"/>
    <s v="United States"/>
    <s v="Memphis"/>
    <s v="Tennessee"/>
    <n v="38109"/>
    <x v="0"/>
    <s v="FUR-CH-10000513"/>
    <x v="0"/>
    <s v="Chairs"/>
    <n v="831.93600000000004"/>
    <n v="8"/>
    <n v="0.2"/>
    <n v="-114.3912"/>
    <x v="4"/>
    <n v="2015"/>
    <s v="Loss"/>
  </r>
  <r>
    <n v="74"/>
    <s v="US-2015-134026"/>
    <x v="33"/>
    <s v="Standard Class"/>
    <s v="JE-15745"/>
    <x v="32"/>
    <s v="Consumer"/>
    <s v="United States"/>
    <s v="Memphis"/>
    <s v="Tennessee"/>
    <n v="38109"/>
    <x v="0"/>
    <s v="FUR-FU-10003708"/>
    <x v="0"/>
    <s v="Furnishings"/>
    <n v="97.04"/>
    <n v="2"/>
    <n v="0.2"/>
    <n v="1.2130000000000001"/>
    <x v="4"/>
    <n v="2015"/>
    <s v="Profit"/>
  </r>
  <r>
    <n v="75"/>
    <s v="US-2015-134026"/>
    <x v="33"/>
    <s v="Standard Class"/>
    <s v="JE-15745"/>
    <x v="32"/>
    <s v="Consumer"/>
    <s v="United States"/>
    <s v="Memphis"/>
    <s v="Tennessee"/>
    <n v="38109"/>
    <x v="0"/>
    <s v="OFF-ST-10004123"/>
    <x v="1"/>
    <s v="Storage"/>
    <n v="72.784000000000006"/>
    <n v="1"/>
    <n v="0.2"/>
    <n v="-18.196000000000002"/>
    <x v="4"/>
    <n v="2015"/>
    <s v="Loss"/>
  </r>
  <r>
    <n v="76"/>
    <s v="US-2017-118038"/>
    <x v="34"/>
    <s v="First Class"/>
    <s v="KB-16600"/>
    <x v="33"/>
    <s v="Corporate"/>
    <s v="United States"/>
    <s v="Houston"/>
    <s v="Texas"/>
    <n v="77041"/>
    <x v="2"/>
    <s v="OFF-BI-10004182"/>
    <x v="1"/>
    <s v="Binders"/>
    <n v="1.248"/>
    <n v="3"/>
    <n v="0.8"/>
    <n v="-1.9343999999999999"/>
    <x v="3"/>
    <n v="2017"/>
    <s v="Loss"/>
  </r>
  <r>
    <n v="77"/>
    <s v="US-2017-118038"/>
    <x v="34"/>
    <s v="First Class"/>
    <s v="KB-16600"/>
    <x v="33"/>
    <s v="Corporate"/>
    <s v="United States"/>
    <s v="Houston"/>
    <s v="Texas"/>
    <n v="77041"/>
    <x v="2"/>
    <s v="FUR-FU-10000260"/>
    <x v="0"/>
    <s v="Furnishings"/>
    <n v="9.7080000000000002"/>
    <n v="3"/>
    <n v="0.6"/>
    <n v="-5.8247999999999998"/>
    <x v="3"/>
    <n v="2017"/>
    <s v="Loss"/>
  </r>
  <r>
    <n v="78"/>
    <s v="US-2017-118038"/>
    <x v="34"/>
    <s v="First Class"/>
    <s v="KB-16600"/>
    <x v="33"/>
    <s v="Corporate"/>
    <s v="United States"/>
    <s v="Houston"/>
    <s v="Texas"/>
    <n v="77041"/>
    <x v="2"/>
    <s v="OFF-ST-10000615"/>
    <x v="1"/>
    <s v="Storage"/>
    <n v="27.24"/>
    <n v="3"/>
    <n v="0.2"/>
    <n v="2.7240000000000002"/>
    <x v="3"/>
    <n v="2017"/>
    <s v="Profit"/>
  </r>
  <r>
    <n v="79"/>
    <s v="US-2014-147606"/>
    <x v="35"/>
    <s v="Second Class"/>
    <s v="JE-15745"/>
    <x v="32"/>
    <s v="Consumer"/>
    <s v="United States"/>
    <s v="Houston"/>
    <s v="Texas"/>
    <n v="77070"/>
    <x v="2"/>
    <s v="FUR-FU-10003194"/>
    <x v="0"/>
    <s v="Furnishings"/>
    <n v="19.3"/>
    <n v="5"/>
    <n v="0.6"/>
    <n v="-14.475"/>
    <x v="2"/>
    <n v="2014"/>
    <s v="Loss"/>
  </r>
  <r>
    <n v="80"/>
    <s v="CA-2016-127208"/>
    <x v="1"/>
    <s v="First Class"/>
    <s v="SC-20770"/>
    <x v="34"/>
    <s v="Corporate"/>
    <s v="United States"/>
    <s v="Decatur"/>
    <s v="Alabama"/>
    <n v="35601"/>
    <x v="0"/>
    <s v="OFF-AP-10002118"/>
    <x v="1"/>
    <s v="Appliances"/>
    <n v="208.16"/>
    <n v="1"/>
    <n v="0"/>
    <n v="56.203200000000002"/>
    <x v="1"/>
    <n v="2016"/>
    <s v="Profit"/>
  </r>
  <r>
    <n v="81"/>
    <s v="CA-2016-127208"/>
    <x v="1"/>
    <s v="First Class"/>
    <s v="SC-20770"/>
    <x v="34"/>
    <s v="Corporate"/>
    <s v="United States"/>
    <s v="Decatur"/>
    <s v="Alabama"/>
    <n v="35601"/>
    <x v="0"/>
    <s v="OFF-BI-10002309"/>
    <x v="1"/>
    <s v="Binders"/>
    <n v="16.739999999999998"/>
    <n v="3"/>
    <n v="0"/>
    <n v="8.0351999999999997"/>
    <x v="1"/>
    <n v="2016"/>
    <s v="Profit"/>
  </r>
  <r>
    <n v="82"/>
    <s v="CA-2014-139451"/>
    <x v="36"/>
    <s v="Standard Class"/>
    <s v="DN-13690"/>
    <x v="35"/>
    <s v="Consumer"/>
    <s v="United States"/>
    <s v="San Francisco"/>
    <s v="California"/>
    <n v="94122"/>
    <x v="1"/>
    <s v="OFF-AR-10002053"/>
    <x v="1"/>
    <s v="Art"/>
    <n v="14.9"/>
    <n v="5"/>
    <n v="0"/>
    <n v="4.1719999999999997"/>
    <x v="1"/>
    <n v="2014"/>
    <s v="Profit"/>
  </r>
  <r>
    <n v="83"/>
    <s v="CA-2014-139451"/>
    <x v="36"/>
    <s v="Standard Class"/>
    <s v="DN-13690"/>
    <x v="35"/>
    <s v="Consumer"/>
    <s v="United States"/>
    <s v="San Francisco"/>
    <s v="California"/>
    <n v="94122"/>
    <x v="1"/>
    <s v="OFF-ST-10002370"/>
    <x v="1"/>
    <s v="Storage"/>
    <n v="21.39"/>
    <n v="1"/>
    <n v="0"/>
    <n v="6.2031000000000001"/>
    <x v="1"/>
    <n v="2014"/>
    <s v="Profit"/>
  </r>
  <r>
    <n v="84"/>
    <s v="CA-2015-149734"/>
    <x v="37"/>
    <s v="Standard Class"/>
    <s v="JC-16105"/>
    <x v="36"/>
    <s v="Corporate"/>
    <s v="United States"/>
    <s v="Durham"/>
    <s v="North Carolina"/>
    <n v="27707"/>
    <x v="0"/>
    <s v="OFF-EN-10000927"/>
    <x v="1"/>
    <s v="Envelopes"/>
    <n v="200.98400000000001"/>
    <n v="7"/>
    <n v="0.2"/>
    <n v="62.807499999999997"/>
    <x v="10"/>
    <n v="2015"/>
    <s v="Profit"/>
  </r>
  <r>
    <n v="85"/>
    <s v="US-2017-119662"/>
    <x v="38"/>
    <s v="First Class"/>
    <s v="CS-12400"/>
    <x v="37"/>
    <s v="Home Office"/>
    <s v="United States"/>
    <s v="Chicago"/>
    <s v="Illinois"/>
    <n v="60623"/>
    <x v="2"/>
    <s v="OFF-ST-10003656"/>
    <x v="1"/>
    <s v="Storage"/>
    <n v="230.376"/>
    <n v="3"/>
    <n v="0.2"/>
    <n v="-48.954900000000002"/>
    <x v="2"/>
    <n v="2017"/>
    <s v="Loss"/>
  </r>
  <r>
    <n v="86"/>
    <s v="CA-2017-140088"/>
    <x v="39"/>
    <s v="Second Class"/>
    <s v="PO-18865"/>
    <x v="22"/>
    <s v="Consumer"/>
    <s v="United States"/>
    <s v="Columbia"/>
    <s v="South Carolina"/>
    <n v="29203"/>
    <x v="0"/>
    <s v="FUR-CH-10000863"/>
    <x v="0"/>
    <s v="Chairs"/>
    <n v="301.95999999999998"/>
    <n v="2"/>
    <n v="0"/>
    <n v="33.215600000000002"/>
    <x v="5"/>
    <n v="2017"/>
    <s v="Profit"/>
  </r>
  <r>
    <n v="87"/>
    <s v="CA-2017-155558"/>
    <x v="40"/>
    <s v="Standard Class"/>
    <s v="PG-18895"/>
    <x v="38"/>
    <s v="Consumer"/>
    <s v="United States"/>
    <s v="Rochester"/>
    <s v="Minnesota"/>
    <n v="55901"/>
    <x v="2"/>
    <s v="TEC-AC-10001998"/>
    <x v="2"/>
    <s v="Accessories"/>
    <n v="19.989999999999998"/>
    <n v="1"/>
    <n v="0"/>
    <n v="6.7965999999999998"/>
    <x v="8"/>
    <n v="2017"/>
    <s v="Profit"/>
  </r>
  <r>
    <n v="88"/>
    <s v="CA-2017-155558"/>
    <x v="40"/>
    <s v="Standard Class"/>
    <s v="PG-18895"/>
    <x v="38"/>
    <s v="Consumer"/>
    <s v="United States"/>
    <s v="Rochester"/>
    <s v="Minnesota"/>
    <n v="55901"/>
    <x v="2"/>
    <s v="OFF-LA-10000134"/>
    <x v="1"/>
    <s v="Labels"/>
    <n v="6.16"/>
    <n v="2"/>
    <n v="0"/>
    <n v="2.9567999999999999"/>
    <x v="8"/>
    <n v="2017"/>
    <s v="Profit"/>
  </r>
  <r>
    <n v="89"/>
    <s v="CA-2016-159695"/>
    <x v="41"/>
    <s v="Second Class"/>
    <s v="GM-14455"/>
    <x v="39"/>
    <s v="Home Office"/>
    <s v="United States"/>
    <s v="Houston"/>
    <s v="Texas"/>
    <n v="77095"/>
    <x v="2"/>
    <s v="OFF-ST-10003442"/>
    <x v="1"/>
    <s v="Storage"/>
    <n v="158.36799999999999"/>
    <n v="7"/>
    <n v="0.2"/>
    <n v="13.857200000000001"/>
    <x v="5"/>
    <n v="2016"/>
    <s v="Profit"/>
  </r>
  <r>
    <n v="90"/>
    <s v="CA-2016-109806"/>
    <x v="42"/>
    <s v="Standard Class"/>
    <s v="JS-15685"/>
    <x v="40"/>
    <s v="Corporate"/>
    <s v="United States"/>
    <s v="Los Angeles"/>
    <s v="California"/>
    <n v="90036"/>
    <x v="1"/>
    <s v="OFF-AR-10004930"/>
    <x v="1"/>
    <s v="Art"/>
    <n v="20.100000000000001"/>
    <n v="3"/>
    <n v="0"/>
    <n v="6.633"/>
    <x v="3"/>
    <n v="2016"/>
    <s v="Profit"/>
  </r>
  <r>
    <n v="91"/>
    <s v="CA-2016-109806"/>
    <x v="42"/>
    <s v="Standard Class"/>
    <s v="JS-15685"/>
    <x v="40"/>
    <s v="Corporate"/>
    <s v="United States"/>
    <s v="Los Angeles"/>
    <s v="California"/>
    <n v="90036"/>
    <x v="1"/>
    <s v="TEC-PH-10004093"/>
    <x v="2"/>
    <s v="Phones"/>
    <n v="73.584000000000003"/>
    <n v="2"/>
    <n v="0.2"/>
    <n v="8.2782"/>
    <x v="3"/>
    <n v="2016"/>
    <s v="Profit"/>
  </r>
  <r>
    <n v="92"/>
    <s v="CA-2016-109806"/>
    <x v="42"/>
    <s v="Standard Class"/>
    <s v="JS-15685"/>
    <x v="40"/>
    <s v="Corporate"/>
    <s v="United States"/>
    <s v="Los Angeles"/>
    <s v="California"/>
    <n v="90036"/>
    <x v="1"/>
    <s v="OFF-PA-10000304"/>
    <x v="1"/>
    <s v="Paper"/>
    <n v="6.48"/>
    <n v="1"/>
    <n v="0"/>
    <n v="3.1103999999999998"/>
    <x v="3"/>
    <n v="2016"/>
    <s v="Profit"/>
  </r>
  <r>
    <n v="93"/>
    <s v="CA-2015-149587"/>
    <x v="43"/>
    <s v="Second Class"/>
    <s v="KB-16315"/>
    <x v="41"/>
    <s v="Consumer"/>
    <s v="United States"/>
    <s v="Minneapolis"/>
    <s v="Minnesota"/>
    <n v="55407"/>
    <x v="2"/>
    <s v="OFF-PA-10003177"/>
    <x v="1"/>
    <s v="Paper"/>
    <n v="12.96"/>
    <n v="2"/>
    <n v="0"/>
    <n v="6.2207999999999997"/>
    <x v="7"/>
    <n v="2015"/>
    <s v="Profit"/>
  </r>
  <r>
    <n v="94"/>
    <s v="CA-2015-149587"/>
    <x v="43"/>
    <s v="Second Class"/>
    <s v="KB-16315"/>
    <x v="41"/>
    <s v="Consumer"/>
    <s v="United States"/>
    <s v="Minneapolis"/>
    <s v="Minnesota"/>
    <n v="55407"/>
    <x v="2"/>
    <s v="FUR-FU-10003799"/>
    <x v="0"/>
    <s v="Furnishings"/>
    <n v="53.34"/>
    <n v="3"/>
    <n v="0"/>
    <n v="16.535399999999999"/>
    <x v="7"/>
    <n v="2015"/>
    <s v="Profit"/>
  </r>
  <r>
    <n v="95"/>
    <s v="CA-2015-149587"/>
    <x v="43"/>
    <s v="Second Class"/>
    <s v="KB-16315"/>
    <x v="41"/>
    <s v="Consumer"/>
    <s v="United States"/>
    <s v="Minneapolis"/>
    <s v="Minnesota"/>
    <n v="55407"/>
    <x v="2"/>
    <s v="OFF-BI-10002852"/>
    <x v="1"/>
    <s v="Binders"/>
    <n v="32.96"/>
    <n v="2"/>
    <n v="0"/>
    <n v="16.150400000000001"/>
    <x v="7"/>
    <n v="2015"/>
    <s v="Profit"/>
  </r>
  <r>
    <n v="96"/>
    <s v="US-2017-109484"/>
    <x v="44"/>
    <s v="Standard Class"/>
    <s v="RB-19705"/>
    <x v="42"/>
    <s v="Home Office"/>
    <s v="United States"/>
    <s v="Portland"/>
    <s v="Oregon"/>
    <n v="97206"/>
    <x v="1"/>
    <s v="OFF-BI-10004738"/>
    <x v="1"/>
    <s v="Binders"/>
    <n v="5.6820000000000004"/>
    <n v="1"/>
    <n v="0.7"/>
    <n v="-3.7879999999999998"/>
    <x v="9"/>
    <n v="2017"/>
    <s v="Loss"/>
  </r>
  <r>
    <n v="97"/>
    <s v="CA-2017-161018"/>
    <x v="45"/>
    <s v="Second Class"/>
    <s v="PN-18775"/>
    <x v="43"/>
    <s v="Home Office"/>
    <s v="United States"/>
    <s v="New York City"/>
    <s v="New York"/>
    <n v="10009"/>
    <x v="3"/>
    <s v="FUR-FU-10000629"/>
    <x v="0"/>
    <s v="Furnishings"/>
    <n v="96.53"/>
    <n v="7"/>
    <n v="0"/>
    <n v="40.5426"/>
    <x v="3"/>
    <n v="2017"/>
    <s v="Profit"/>
  </r>
  <r>
    <n v="98"/>
    <s v="CA-2017-157833"/>
    <x v="46"/>
    <s v="First Class"/>
    <s v="KD-16345"/>
    <x v="44"/>
    <s v="Consumer"/>
    <s v="United States"/>
    <s v="San Francisco"/>
    <s v="California"/>
    <n v="94122"/>
    <x v="1"/>
    <s v="OFF-BI-10001721"/>
    <x v="1"/>
    <s v="Binders"/>
    <n v="51.311999999999998"/>
    <n v="3"/>
    <n v="0.2"/>
    <n v="17.959199999999999"/>
    <x v="9"/>
    <n v="2017"/>
    <s v="Profit"/>
  </r>
  <r>
    <n v="99"/>
    <s v="CA-2016-149223"/>
    <x v="47"/>
    <s v="Standard Class"/>
    <s v="ER-13855"/>
    <x v="45"/>
    <s v="Corporate"/>
    <s v="United States"/>
    <s v="Saint Paul"/>
    <s v="Minnesota"/>
    <n v="55106"/>
    <x v="2"/>
    <s v="OFF-AP-10000358"/>
    <x v="1"/>
    <s v="Appliances"/>
    <n v="77.88"/>
    <n v="6"/>
    <n v="0"/>
    <n v="22.5852"/>
    <x v="9"/>
    <n v="2016"/>
    <s v="Profit"/>
  </r>
  <r>
    <n v="100"/>
    <s v="CA-2016-158568"/>
    <x v="48"/>
    <s v="Standard Class"/>
    <s v="RB-19465"/>
    <x v="46"/>
    <s v="Home Office"/>
    <s v="United States"/>
    <s v="Chicago"/>
    <s v="Illinois"/>
    <n v="60610"/>
    <x v="2"/>
    <s v="OFF-PA-10003256"/>
    <x v="1"/>
    <s v="Paper"/>
    <n v="64.623999999999995"/>
    <n v="7"/>
    <n v="0.2"/>
    <n v="22.618400000000001"/>
    <x v="0"/>
    <n v="2016"/>
    <s v="Profit"/>
  </r>
  <r>
    <n v="101"/>
    <s v="CA-2016-158568"/>
    <x v="48"/>
    <s v="Standard Class"/>
    <s v="RB-19465"/>
    <x v="46"/>
    <s v="Home Office"/>
    <s v="United States"/>
    <s v="Chicago"/>
    <s v="Illinois"/>
    <n v="60610"/>
    <x v="2"/>
    <s v="TEC-AC-10001767"/>
    <x v="2"/>
    <s v="Accessories"/>
    <n v="95.975999999999999"/>
    <n v="3"/>
    <n v="0.2"/>
    <n v="-10.7973"/>
    <x v="0"/>
    <n v="2016"/>
    <s v="Loss"/>
  </r>
  <r>
    <n v="102"/>
    <s v="CA-2016-158568"/>
    <x v="48"/>
    <s v="Standard Class"/>
    <s v="RB-19465"/>
    <x v="46"/>
    <s v="Home Office"/>
    <s v="United States"/>
    <s v="Chicago"/>
    <s v="Illinois"/>
    <n v="60610"/>
    <x v="2"/>
    <s v="OFF-BI-10002609"/>
    <x v="1"/>
    <s v="Binders"/>
    <n v="1.788"/>
    <n v="3"/>
    <n v="0.8"/>
    <n v="-3.0396000000000001"/>
    <x v="0"/>
    <n v="2016"/>
    <s v="Loss"/>
  </r>
  <r>
    <n v="103"/>
    <s v="CA-2016-129903"/>
    <x v="49"/>
    <s v="Second Class"/>
    <s v="GZ-14470"/>
    <x v="47"/>
    <s v="Consumer"/>
    <s v="United States"/>
    <s v="Rochester"/>
    <s v="Minnesota"/>
    <n v="55901"/>
    <x v="2"/>
    <s v="OFF-PA-10004040"/>
    <x v="1"/>
    <s v="Paper"/>
    <n v="23.92"/>
    <n v="4"/>
    <n v="0"/>
    <n v="11.720800000000001"/>
    <x v="7"/>
    <n v="2016"/>
    <s v="Profit"/>
  </r>
  <r>
    <n v="104"/>
    <s v="US-2015-156867"/>
    <x v="50"/>
    <s v="Standard Class"/>
    <s v="LC-16870"/>
    <x v="48"/>
    <s v="Consumer"/>
    <s v="United States"/>
    <s v="Aurora"/>
    <s v="Colorado"/>
    <n v="80013"/>
    <x v="1"/>
    <s v="TEC-AC-10001552"/>
    <x v="2"/>
    <s v="Accessories"/>
    <n v="238.89599999999999"/>
    <n v="6"/>
    <n v="0.2"/>
    <n v="-26.875800000000002"/>
    <x v="2"/>
    <n v="2015"/>
    <s v="Loss"/>
  </r>
  <r>
    <n v="105"/>
    <s v="US-2015-156867"/>
    <x v="50"/>
    <s v="Standard Class"/>
    <s v="LC-16870"/>
    <x v="48"/>
    <s v="Consumer"/>
    <s v="United States"/>
    <s v="Aurora"/>
    <s v="Colorado"/>
    <n v="80013"/>
    <x v="1"/>
    <s v="FUR-FU-10004006"/>
    <x v="0"/>
    <s v="Furnishings"/>
    <n v="102.36"/>
    <n v="3"/>
    <n v="0.2"/>
    <n v="-3.8384999999999998"/>
    <x v="2"/>
    <n v="2015"/>
    <s v="Loss"/>
  </r>
  <r>
    <n v="106"/>
    <s v="US-2015-156867"/>
    <x v="50"/>
    <s v="Standard Class"/>
    <s v="LC-16870"/>
    <x v="48"/>
    <s v="Consumer"/>
    <s v="United States"/>
    <s v="Aurora"/>
    <s v="Colorado"/>
    <n v="80013"/>
    <x v="1"/>
    <s v="OFF-BI-10002794"/>
    <x v="1"/>
    <s v="Binders"/>
    <n v="36.881999999999998"/>
    <n v="3"/>
    <n v="0.7"/>
    <n v="-25.817399999999999"/>
    <x v="2"/>
    <n v="2015"/>
    <s v="Loss"/>
  </r>
  <r>
    <n v="107"/>
    <s v="CA-2017-119004"/>
    <x v="51"/>
    <s v="Standard Class"/>
    <s v="JM-15250"/>
    <x v="49"/>
    <s v="Consumer"/>
    <s v="United States"/>
    <s v="Charlotte"/>
    <s v="North Carolina"/>
    <n v="28205"/>
    <x v="0"/>
    <s v="TEC-AC-10003499"/>
    <x v="2"/>
    <s v="Accessories"/>
    <n v="74.111999999999995"/>
    <n v="8"/>
    <n v="0.2"/>
    <n v="17.601600000000001"/>
    <x v="2"/>
    <n v="2017"/>
    <s v="Profit"/>
  </r>
  <r>
    <n v="108"/>
    <s v="CA-2017-119004"/>
    <x v="51"/>
    <s v="Standard Class"/>
    <s v="JM-15250"/>
    <x v="49"/>
    <s v="Consumer"/>
    <s v="United States"/>
    <s v="Charlotte"/>
    <s v="North Carolina"/>
    <n v="28205"/>
    <x v="0"/>
    <s v="TEC-PH-10002844"/>
    <x v="2"/>
    <s v="Phones"/>
    <n v="27.992000000000001"/>
    <n v="1"/>
    <n v="0.2"/>
    <n v="2.0994000000000002"/>
    <x v="2"/>
    <n v="2017"/>
    <s v="Profit"/>
  </r>
  <r>
    <n v="109"/>
    <s v="CA-2017-119004"/>
    <x v="51"/>
    <s v="Standard Class"/>
    <s v="JM-15250"/>
    <x v="49"/>
    <s v="Consumer"/>
    <s v="United States"/>
    <s v="Charlotte"/>
    <s v="North Carolina"/>
    <n v="28205"/>
    <x v="0"/>
    <s v="OFF-AR-10000390"/>
    <x v="1"/>
    <s v="Art"/>
    <n v="3.3039999999999998"/>
    <n v="1"/>
    <n v="0.2"/>
    <n v="1.0738000000000001"/>
    <x v="2"/>
    <n v="2017"/>
    <s v="Profit"/>
  </r>
  <r>
    <n v="110"/>
    <s v="CA-2015-129476"/>
    <x v="52"/>
    <s v="Standard Class"/>
    <s v="PA-19060"/>
    <x v="50"/>
    <s v="Home Office"/>
    <s v="United States"/>
    <s v="Orland Park"/>
    <s v="Illinois"/>
    <n v="60462"/>
    <x v="2"/>
    <s v="TEC-AC-10000844"/>
    <x v="2"/>
    <s v="Accessories"/>
    <n v="339.96"/>
    <n v="5"/>
    <n v="0.2"/>
    <n v="67.992000000000004"/>
    <x v="8"/>
    <n v="2015"/>
    <s v="Profit"/>
  </r>
  <r>
    <n v="111"/>
    <s v="CA-2017-146780"/>
    <x v="53"/>
    <s v="Standard Class"/>
    <s v="CV-12805"/>
    <x v="51"/>
    <s v="Corporate"/>
    <s v="United States"/>
    <s v="New York City"/>
    <s v="New York"/>
    <n v="10035"/>
    <x v="3"/>
    <s v="FUR-FU-10001934"/>
    <x v="0"/>
    <s v="Furnishings"/>
    <n v="41.96"/>
    <n v="2"/>
    <n v="0"/>
    <n v="10.909599999999999"/>
    <x v="1"/>
    <n v="2017"/>
    <s v="Profit"/>
  </r>
  <r>
    <n v="112"/>
    <s v="CA-2016-128867"/>
    <x v="54"/>
    <s v="Standard Class"/>
    <s v="CL-12565"/>
    <x v="52"/>
    <s v="Consumer"/>
    <s v="United States"/>
    <s v="Urbandale"/>
    <s v="Iowa"/>
    <n v="50322"/>
    <x v="2"/>
    <s v="OFF-AR-10000380"/>
    <x v="1"/>
    <s v="Art"/>
    <n v="75.959999999999994"/>
    <n v="2"/>
    <n v="0"/>
    <n v="22.788"/>
    <x v="10"/>
    <n v="2016"/>
    <s v="Profit"/>
  </r>
  <r>
    <n v="113"/>
    <s v="CA-2016-128867"/>
    <x v="54"/>
    <s v="Standard Class"/>
    <s v="CL-12565"/>
    <x v="52"/>
    <s v="Consumer"/>
    <s v="United States"/>
    <s v="Urbandale"/>
    <s v="Iowa"/>
    <n v="50322"/>
    <x v="2"/>
    <s v="OFF-BI-10003981"/>
    <x v="1"/>
    <s v="Binders"/>
    <n v="27.24"/>
    <n v="6"/>
    <n v="0"/>
    <n v="13.3476"/>
    <x v="10"/>
    <n v="2016"/>
    <s v="Profit"/>
  </r>
  <r>
    <n v="114"/>
    <s v="CA-2014-115259"/>
    <x v="55"/>
    <s v="Second Class"/>
    <s v="RC-19960"/>
    <x v="53"/>
    <s v="Consumer"/>
    <s v="United States"/>
    <s v="Columbus"/>
    <s v="Ohio"/>
    <n v="43229"/>
    <x v="3"/>
    <s v="OFF-FA-10000621"/>
    <x v="1"/>
    <s v="Fasteners"/>
    <n v="40.095999999999997"/>
    <n v="14"/>
    <n v="0.2"/>
    <n v="14.534800000000001"/>
    <x v="0"/>
    <n v="2014"/>
    <s v="Profit"/>
  </r>
  <r>
    <n v="115"/>
    <s v="CA-2014-115259"/>
    <x v="55"/>
    <s v="Second Class"/>
    <s v="RC-19960"/>
    <x v="53"/>
    <s v="Consumer"/>
    <s v="United States"/>
    <s v="Columbus"/>
    <s v="Ohio"/>
    <n v="43229"/>
    <x v="3"/>
    <s v="OFF-EN-10002600"/>
    <x v="1"/>
    <s v="Envelopes"/>
    <n v="4.72"/>
    <n v="2"/>
    <n v="0.2"/>
    <n v="1.6519999999999999"/>
    <x v="0"/>
    <n v="2014"/>
    <s v="Profit"/>
  </r>
  <r>
    <n v="116"/>
    <s v="CA-2014-115259"/>
    <x v="55"/>
    <s v="Second Class"/>
    <s v="RC-19960"/>
    <x v="53"/>
    <s v="Consumer"/>
    <s v="United States"/>
    <s v="Columbus"/>
    <s v="Ohio"/>
    <n v="43229"/>
    <x v="3"/>
    <s v="OFF-PA-10004965"/>
    <x v="1"/>
    <s v="Paper"/>
    <n v="23.975999999999999"/>
    <n v="3"/>
    <n v="0.2"/>
    <n v="7.4924999999999997"/>
    <x v="0"/>
    <n v="2014"/>
    <s v="Profit"/>
  </r>
  <r>
    <n v="117"/>
    <s v="CA-2014-115259"/>
    <x v="55"/>
    <s v="Second Class"/>
    <s v="RC-19960"/>
    <x v="53"/>
    <s v="Consumer"/>
    <s v="United States"/>
    <s v="Columbus"/>
    <s v="Ohio"/>
    <n v="43229"/>
    <x v="3"/>
    <s v="OFF-EN-10002504"/>
    <x v="1"/>
    <s v="Envelopes"/>
    <n v="130.464"/>
    <n v="6"/>
    <n v="0.2"/>
    <n v="44.031599999999997"/>
    <x v="0"/>
    <n v="2014"/>
    <s v="Profit"/>
  </r>
  <r>
    <n v="118"/>
    <s v="CA-2015-110457"/>
    <x v="56"/>
    <s v="Standard Class"/>
    <s v="DK-13090"/>
    <x v="54"/>
    <s v="Consumer"/>
    <s v="United States"/>
    <s v="Seattle"/>
    <s v="Washington"/>
    <n v="98103"/>
    <x v="1"/>
    <s v="FUR-TA-10001768"/>
    <x v="0"/>
    <s v="Tables"/>
    <n v="787.53"/>
    <n v="3"/>
    <n v="0"/>
    <n v="165.38130000000001"/>
    <x v="11"/>
    <n v="2015"/>
    <s v="Profit"/>
  </r>
  <r>
    <n v="119"/>
    <s v="US-2015-136476"/>
    <x v="57"/>
    <s v="Standard Class"/>
    <s v="GG-14650"/>
    <x v="55"/>
    <s v="Corporate"/>
    <s v="United States"/>
    <s v="Bristol"/>
    <s v="Tennessee"/>
    <n v="37620"/>
    <x v="0"/>
    <s v="OFF-BI-10003650"/>
    <x v="1"/>
    <s v="Binders"/>
    <n v="157.79400000000001"/>
    <n v="1"/>
    <n v="0.7"/>
    <n v="-115.71559999999999"/>
    <x v="5"/>
    <n v="2015"/>
    <s v="Loss"/>
  </r>
  <r>
    <n v="120"/>
    <s v="CA-2016-103730"/>
    <x v="1"/>
    <s v="First Class"/>
    <s v="SC-20725"/>
    <x v="56"/>
    <s v="Consumer"/>
    <s v="United States"/>
    <s v="Wilmington"/>
    <s v="Delaware"/>
    <n v="19805"/>
    <x v="3"/>
    <s v="FUR-FU-10002157"/>
    <x v="0"/>
    <s v="Furnishings"/>
    <n v="47.04"/>
    <n v="3"/>
    <n v="0"/>
    <n v="18.345600000000001"/>
    <x v="1"/>
    <n v="2016"/>
    <s v="Profit"/>
  </r>
  <r>
    <n v="121"/>
    <s v="CA-2016-103730"/>
    <x v="1"/>
    <s v="First Class"/>
    <s v="SC-20725"/>
    <x v="56"/>
    <s v="Consumer"/>
    <s v="United States"/>
    <s v="Wilmington"/>
    <s v="Delaware"/>
    <n v="19805"/>
    <x v="3"/>
    <s v="OFF-BI-10003910"/>
    <x v="1"/>
    <s v="Binders"/>
    <n v="30.84"/>
    <n v="4"/>
    <n v="0"/>
    <n v="13.878"/>
    <x v="1"/>
    <n v="2016"/>
    <s v="Profit"/>
  </r>
  <r>
    <n v="122"/>
    <s v="CA-2016-103730"/>
    <x v="1"/>
    <s v="First Class"/>
    <s v="SC-20725"/>
    <x v="56"/>
    <s v="Consumer"/>
    <s v="United States"/>
    <s v="Wilmington"/>
    <s v="Delaware"/>
    <n v="19805"/>
    <x v="3"/>
    <s v="OFF-ST-10000777"/>
    <x v="1"/>
    <s v="Storage"/>
    <n v="226.56"/>
    <n v="6"/>
    <n v="0"/>
    <n v="63.436799999999998"/>
    <x v="1"/>
    <n v="2016"/>
    <s v="Profit"/>
  </r>
  <r>
    <n v="123"/>
    <s v="CA-2016-103730"/>
    <x v="1"/>
    <s v="First Class"/>
    <s v="SC-20725"/>
    <x v="56"/>
    <s v="Consumer"/>
    <s v="United States"/>
    <s v="Wilmington"/>
    <s v="Delaware"/>
    <n v="19805"/>
    <x v="3"/>
    <s v="OFF-EN-10002500"/>
    <x v="1"/>
    <s v="Envelopes"/>
    <n v="115.02"/>
    <n v="9"/>
    <n v="0"/>
    <n v="51.759"/>
    <x v="1"/>
    <n v="2016"/>
    <s v="Profit"/>
  </r>
  <r>
    <n v="124"/>
    <s v="CA-2016-103730"/>
    <x v="1"/>
    <s v="First Class"/>
    <s v="SC-20725"/>
    <x v="56"/>
    <s v="Consumer"/>
    <s v="United States"/>
    <s v="Wilmington"/>
    <s v="Delaware"/>
    <n v="19805"/>
    <x v="3"/>
    <s v="TEC-PH-10003875"/>
    <x v="2"/>
    <s v="Phones"/>
    <n v="68.040000000000006"/>
    <n v="7"/>
    <n v="0"/>
    <n v="19.7316"/>
    <x v="1"/>
    <n v="2016"/>
    <s v="Profit"/>
  </r>
  <r>
    <n v="125"/>
    <s v="US-2014-152030"/>
    <x v="58"/>
    <s v="Second Class"/>
    <s v="AD-10180"/>
    <x v="57"/>
    <s v="Home Office"/>
    <s v="United States"/>
    <s v="Houston"/>
    <s v="Texas"/>
    <n v="77041"/>
    <x v="2"/>
    <s v="FUR-CH-10004063"/>
    <x v="0"/>
    <s v="Chairs"/>
    <n v="600.55799999999999"/>
    <n v="3"/>
    <n v="0.3"/>
    <n v="-8.5793999999999997"/>
    <x v="1"/>
    <n v="2014"/>
    <s v="Loss"/>
  </r>
  <r>
    <n v="126"/>
    <s v="US-2014-134614"/>
    <x v="59"/>
    <s v="Standard Class"/>
    <s v="PF-19165"/>
    <x v="58"/>
    <s v="Consumer"/>
    <s v="United States"/>
    <s v="Bloomington"/>
    <s v="Illinois"/>
    <n v="61701"/>
    <x v="2"/>
    <s v="FUR-TA-10004534"/>
    <x v="0"/>
    <s v="Tables"/>
    <n v="617.70000000000005"/>
    <n v="6"/>
    <n v="0.5"/>
    <n v="-407.68200000000002"/>
    <x v="3"/>
    <n v="2014"/>
    <s v="Loss"/>
  </r>
  <r>
    <n v="127"/>
    <s v="US-2017-107272"/>
    <x v="60"/>
    <s v="Standard Class"/>
    <s v="TS-21610"/>
    <x v="59"/>
    <s v="Consumer"/>
    <s v="United States"/>
    <s v="Phoenix"/>
    <s v="Arizona"/>
    <n v="85023"/>
    <x v="1"/>
    <s v="OFF-BI-10003274"/>
    <x v="1"/>
    <s v="Binders"/>
    <n v="2.3879999999999999"/>
    <n v="2"/>
    <n v="0.7"/>
    <n v="-1.8308"/>
    <x v="5"/>
    <n v="2017"/>
    <s v="Loss"/>
  </r>
  <r>
    <n v="128"/>
    <s v="US-2017-107272"/>
    <x v="60"/>
    <s v="Standard Class"/>
    <s v="TS-21610"/>
    <x v="59"/>
    <s v="Consumer"/>
    <s v="United States"/>
    <s v="Phoenix"/>
    <s v="Arizona"/>
    <n v="85023"/>
    <x v="1"/>
    <s v="OFF-ST-10002974"/>
    <x v="1"/>
    <s v="Storage"/>
    <n v="243.99199999999999"/>
    <n v="7"/>
    <n v="0.2"/>
    <n v="30.498999999999999"/>
    <x v="5"/>
    <n v="2017"/>
    <s v="Profit"/>
  </r>
  <r>
    <n v="129"/>
    <s v="US-2016-125969"/>
    <x v="61"/>
    <s v="Second Class"/>
    <s v="LS-16975"/>
    <x v="60"/>
    <s v="Home Office"/>
    <s v="United States"/>
    <s v="Los Angeles"/>
    <s v="California"/>
    <n v="90004"/>
    <x v="1"/>
    <s v="FUR-CH-10001146"/>
    <x v="0"/>
    <s v="Chairs"/>
    <n v="81.424000000000007"/>
    <n v="2"/>
    <n v="0.2"/>
    <n v="-9.1601999999999997"/>
    <x v="9"/>
    <n v="2016"/>
    <s v="Loss"/>
  </r>
  <r>
    <n v="130"/>
    <s v="US-2016-125969"/>
    <x v="61"/>
    <s v="Second Class"/>
    <s v="LS-16975"/>
    <x v="60"/>
    <s v="Home Office"/>
    <s v="United States"/>
    <s v="Los Angeles"/>
    <s v="California"/>
    <n v="90004"/>
    <x v="1"/>
    <s v="FUR-FU-10003773"/>
    <x v="0"/>
    <s v="Furnishings"/>
    <n v="238.56"/>
    <n v="3"/>
    <n v="0"/>
    <n v="26.241599999999998"/>
    <x v="9"/>
    <n v="2016"/>
    <s v="Profit"/>
  </r>
  <r>
    <n v="131"/>
    <s v="US-2017-164147"/>
    <x v="62"/>
    <s v="First Class"/>
    <s v="DW-13585"/>
    <x v="61"/>
    <s v="Corporate"/>
    <s v="United States"/>
    <s v="Columbus"/>
    <s v="Ohio"/>
    <n v="43229"/>
    <x v="3"/>
    <s v="TEC-PH-10002293"/>
    <x v="2"/>
    <s v="Phones"/>
    <n v="59.97"/>
    <n v="5"/>
    <n v="0.4"/>
    <n v="-11.994"/>
    <x v="11"/>
    <n v="2017"/>
    <s v="Loss"/>
  </r>
  <r>
    <n v="132"/>
    <s v="US-2017-164147"/>
    <x v="62"/>
    <s v="First Class"/>
    <s v="DW-13585"/>
    <x v="61"/>
    <s v="Corporate"/>
    <s v="United States"/>
    <s v="Columbus"/>
    <s v="Ohio"/>
    <n v="43229"/>
    <x v="3"/>
    <s v="OFF-PA-10002377"/>
    <x v="1"/>
    <s v="Paper"/>
    <n v="78.304000000000002"/>
    <n v="2"/>
    <n v="0.2"/>
    <n v="29.364000000000001"/>
    <x v="11"/>
    <n v="2017"/>
    <s v="Profit"/>
  </r>
  <r>
    <n v="133"/>
    <s v="US-2017-164147"/>
    <x v="62"/>
    <s v="First Class"/>
    <s v="DW-13585"/>
    <x v="61"/>
    <s v="Corporate"/>
    <s v="United States"/>
    <s v="Columbus"/>
    <s v="Ohio"/>
    <n v="43229"/>
    <x v="3"/>
    <s v="OFF-FA-10002780"/>
    <x v="1"/>
    <s v="Fasteners"/>
    <n v="21.456"/>
    <n v="9"/>
    <n v="0.2"/>
    <n v="6.9732000000000003"/>
    <x v="11"/>
    <n v="2017"/>
    <s v="Profit"/>
  </r>
  <r>
    <n v="134"/>
    <s v="CA-2016-145583"/>
    <x v="63"/>
    <s v="Standard Class"/>
    <s v="LC-16885"/>
    <x v="62"/>
    <s v="Consumer"/>
    <s v="United States"/>
    <s v="Roseville"/>
    <s v="California"/>
    <n v="95661"/>
    <x v="1"/>
    <s v="OFF-PA-10001804"/>
    <x v="1"/>
    <s v="Paper"/>
    <n v="20.04"/>
    <n v="3"/>
    <n v="0"/>
    <n v="9.6191999999999993"/>
    <x v="8"/>
    <n v="2016"/>
    <s v="Profit"/>
  </r>
  <r>
    <n v="135"/>
    <s v="CA-2016-145583"/>
    <x v="63"/>
    <s v="Standard Class"/>
    <s v="LC-16885"/>
    <x v="62"/>
    <s v="Consumer"/>
    <s v="United States"/>
    <s v="Roseville"/>
    <s v="California"/>
    <n v="95661"/>
    <x v="1"/>
    <s v="OFF-PA-10001736"/>
    <x v="1"/>
    <s v="Paper"/>
    <n v="35.44"/>
    <n v="1"/>
    <n v="0"/>
    <n v="16.6568"/>
    <x v="8"/>
    <n v="2016"/>
    <s v="Profit"/>
  </r>
  <r>
    <n v="136"/>
    <s v="CA-2016-145583"/>
    <x v="63"/>
    <s v="Standard Class"/>
    <s v="LC-16885"/>
    <x v="62"/>
    <s v="Consumer"/>
    <s v="United States"/>
    <s v="Roseville"/>
    <s v="California"/>
    <n v="95661"/>
    <x v="1"/>
    <s v="OFF-AR-10001149"/>
    <x v="1"/>
    <s v="Art"/>
    <n v="11.52"/>
    <n v="4"/>
    <n v="0"/>
    <n v="3.456"/>
    <x v="8"/>
    <n v="2016"/>
    <s v="Profit"/>
  </r>
  <r>
    <n v="137"/>
    <s v="CA-2016-145583"/>
    <x v="63"/>
    <s v="Standard Class"/>
    <s v="LC-16885"/>
    <x v="62"/>
    <s v="Consumer"/>
    <s v="United States"/>
    <s v="Roseville"/>
    <s v="California"/>
    <n v="95661"/>
    <x v="1"/>
    <s v="OFF-FA-10002988"/>
    <x v="1"/>
    <s v="Fasteners"/>
    <n v="4.0199999999999996"/>
    <n v="2"/>
    <n v="0"/>
    <n v="1.9698"/>
    <x v="8"/>
    <n v="2016"/>
    <s v="Profit"/>
  </r>
  <r>
    <n v="138"/>
    <s v="CA-2016-145583"/>
    <x v="63"/>
    <s v="Standard Class"/>
    <s v="LC-16885"/>
    <x v="62"/>
    <s v="Consumer"/>
    <s v="United States"/>
    <s v="Roseville"/>
    <s v="California"/>
    <n v="95661"/>
    <x v="1"/>
    <s v="OFF-BI-10004781"/>
    <x v="1"/>
    <s v="Binders"/>
    <n v="76.176000000000002"/>
    <n v="3"/>
    <n v="0.2"/>
    <n v="26.6616"/>
    <x v="8"/>
    <n v="2016"/>
    <s v="Profit"/>
  </r>
  <r>
    <n v="139"/>
    <s v="CA-2016-145583"/>
    <x v="63"/>
    <s v="Standard Class"/>
    <s v="LC-16885"/>
    <x v="62"/>
    <s v="Consumer"/>
    <s v="United States"/>
    <s v="Roseville"/>
    <s v="California"/>
    <n v="95661"/>
    <x v="1"/>
    <s v="OFF-SU-10001218"/>
    <x v="1"/>
    <s v="Supplies"/>
    <n v="65.88"/>
    <n v="6"/>
    <n v="0"/>
    <n v="18.446400000000001"/>
    <x v="8"/>
    <n v="2016"/>
    <s v="Profit"/>
  </r>
  <r>
    <n v="140"/>
    <s v="CA-2016-145583"/>
    <x v="63"/>
    <s v="Standard Class"/>
    <s v="LC-16885"/>
    <x v="62"/>
    <s v="Consumer"/>
    <s v="United States"/>
    <s v="Roseville"/>
    <s v="California"/>
    <n v="95661"/>
    <x v="1"/>
    <s v="FUR-FU-10001706"/>
    <x v="0"/>
    <s v="Furnishings"/>
    <n v="43.12"/>
    <n v="14"/>
    <n v="0"/>
    <n v="20.697600000000001"/>
    <x v="8"/>
    <n v="2016"/>
    <s v="Profit"/>
  </r>
  <r>
    <n v="141"/>
    <s v="CA-2016-110366"/>
    <x v="64"/>
    <s v="Second Class"/>
    <s v="JD-15895"/>
    <x v="63"/>
    <s v="Corporate"/>
    <s v="United States"/>
    <s v="Philadelphia"/>
    <s v="Pennsylvania"/>
    <n v="19140"/>
    <x v="3"/>
    <s v="FUR-FU-10004848"/>
    <x v="0"/>
    <s v="Furnishings"/>
    <n v="82.8"/>
    <n v="2"/>
    <n v="0.2"/>
    <n v="10.35"/>
    <x v="5"/>
    <n v="2016"/>
    <s v="Profit"/>
  </r>
  <r>
    <n v="142"/>
    <s v="CA-2017-106180"/>
    <x v="65"/>
    <s v="Standard Class"/>
    <s v="SH-19975"/>
    <x v="64"/>
    <s v="Corporate"/>
    <s v="United States"/>
    <s v="San Francisco"/>
    <s v="California"/>
    <n v="94122"/>
    <x v="1"/>
    <s v="OFF-AR-10000940"/>
    <x v="1"/>
    <s v="Art"/>
    <n v="8.82"/>
    <n v="3"/>
    <n v="0"/>
    <n v="2.3814000000000002"/>
    <x v="3"/>
    <n v="2017"/>
    <s v="Profit"/>
  </r>
  <r>
    <n v="143"/>
    <s v="CA-2017-106180"/>
    <x v="65"/>
    <s v="Standard Class"/>
    <s v="SH-19975"/>
    <x v="64"/>
    <s v="Corporate"/>
    <s v="United States"/>
    <s v="San Francisco"/>
    <s v="California"/>
    <n v="94122"/>
    <x v="1"/>
    <s v="OFF-EN-10004030"/>
    <x v="1"/>
    <s v="Envelopes"/>
    <n v="10.86"/>
    <n v="3"/>
    <n v="0"/>
    <n v="5.1041999999999996"/>
    <x v="3"/>
    <n v="2017"/>
    <s v="Profit"/>
  </r>
  <r>
    <n v="144"/>
    <s v="CA-2017-106180"/>
    <x v="65"/>
    <s v="Standard Class"/>
    <s v="SH-19975"/>
    <x v="64"/>
    <s v="Corporate"/>
    <s v="United States"/>
    <s v="San Francisco"/>
    <s v="California"/>
    <n v="94122"/>
    <x v="1"/>
    <s v="OFF-PA-10004327"/>
    <x v="1"/>
    <s v="Paper"/>
    <n v="143.69999999999999"/>
    <n v="3"/>
    <n v="0"/>
    <n v="68.975999999999999"/>
    <x v="3"/>
    <n v="2017"/>
    <s v="Profit"/>
  </r>
  <r>
    <n v="145"/>
    <s v="CA-2017-155376"/>
    <x v="66"/>
    <s v="Standard Class"/>
    <s v="SG-20080"/>
    <x v="65"/>
    <s v="Consumer"/>
    <s v="United States"/>
    <s v="Independence"/>
    <s v="Missouri"/>
    <n v="64055"/>
    <x v="2"/>
    <s v="OFF-AP-10001058"/>
    <x v="1"/>
    <s v="Appliances"/>
    <n v="839.43"/>
    <n v="3"/>
    <n v="0"/>
    <n v="218.2518"/>
    <x v="1"/>
    <n v="2017"/>
    <s v="Profit"/>
  </r>
  <r>
    <n v="146"/>
    <s v="CA-2015-110744"/>
    <x v="67"/>
    <s v="Standard Class"/>
    <s v="HA-14920"/>
    <x v="66"/>
    <s v="Consumer"/>
    <s v="United States"/>
    <s v="Pasadena"/>
    <s v="California"/>
    <n v="91104"/>
    <x v="1"/>
    <s v="OFF-ST-10003656"/>
    <x v="1"/>
    <s v="Storage"/>
    <n v="671.93"/>
    <n v="7"/>
    <n v="0"/>
    <n v="20.157900000000001"/>
    <x v="6"/>
    <n v="2015"/>
    <s v="Profit"/>
  </r>
  <r>
    <n v="147"/>
    <s v="CA-2014-110072"/>
    <x v="68"/>
    <s v="Standard Class"/>
    <s v="MG-17680"/>
    <x v="67"/>
    <s v="Home Office"/>
    <s v="United States"/>
    <s v="Newark"/>
    <s v="Ohio"/>
    <n v="43055"/>
    <x v="3"/>
    <s v="FUR-FU-10000521"/>
    <x v="0"/>
    <s v="Furnishings"/>
    <n v="93.888000000000005"/>
    <n v="4"/>
    <n v="0.2"/>
    <n v="12.909599999999999"/>
    <x v="8"/>
    <n v="2014"/>
    <s v="Profit"/>
  </r>
  <r>
    <n v="148"/>
    <s v="CA-2016-114489"/>
    <x v="5"/>
    <s v="Standard Class"/>
    <s v="JE-16165"/>
    <x v="68"/>
    <s v="Corporate"/>
    <s v="United States"/>
    <s v="Franklin"/>
    <s v="Wisconsin"/>
    <n v="53132"/>
    <x v="2"/>
    <s v="TEC-PH-10000215"/>
    <x v="2"/>
    <s v="Phones"/>
    <n v="384.45"/>
    <n v="11"/>
    <n v="0"/>
    <n v="103.8015"/>
    <x v="5"/>
    <n v="2016"/>
    <s v="Profit"/>
  </r>
  <r>
    <n v="149"/>
    <s v="CA-2016-114489"/>
    <x v="5"/>
    <s v="Standard Class"/>
    <s v="JE-16165"/>
    <x v="68"/>
    <s v="Corporate"/>
    <s v="United States"/>
    <s v="Franklin"/>
    <s v="Wisconsin"/>
    <n v="53132"/>
    <x v="2"/>
    <s v="TEC-PH-10001448"/>
    <x v="2"/>
    <s v="Phones"/>
    <n v="149.97"/>
    <n v="3"/>
    <n v="0"/>
    <n v="5.9988000000000001"/>
    <x v="5"/>
    <n v="2016"/>
    <s v="Profit"/>
  </r>
  <r>
    <n v="150"/>
    <s v="CA-2016-114489"/>
    <x v="5"/>
    <s v="Standard Class"/>
    <s v="JE-16165"/>
    <x v="68"/>
    <s v="Corporate"/>
    <s v="United States"/>
    <s v="Franklin"/>
    <s v="Wisconsin"/>
    <n v="53132"/>
    <x v="2"/>
    <s v="FUR-CH-10000454"/>
    <x v="0"/>
    <s v="Chairs"/>
    <n v="1951.84"/>
    <n v="8"/>
    <n v="0"/>
    <n v="585.55200000000002"/>
    <x v="5"/>
    <n v="2016"/>
    <s v="Profit"/>
  </r>
  <r>
    <n v="151"/>
    <s v="CA-2016-114489"/>
    <x v="5"/>
    <s v="Standard Class"/>
    <s v="JE-16165"/>
    <x v="68"/>
    <s v="Corporate"/>
    <s v="United States"/>
    <s v="Franklin"/>
    <s v="Wisconsin"/>
    <n v="53132"/>
    <x v="2"/>
    <s v="OFF-BI-10002735"/>
    <x v="1"/>
    <s v="Binders"/>
    <n v="171.55"/>
    <n v="5"/>
    <n v="0"/>
    <n v="80.628500000000003"/>
    <x v="5"/>
    <n v="2016"/>
    <s v="Profit"/>
  </r>
  <r>
    <n v="152"/>
    <s v="CA-2016-158834"/>
    <x v="69"/>
    <s v="First Class"/>
    <s v="TW-21025"/>
    <x v="69"/>
    <s v="Home Office"/>
    <s v="United States"/>
    <s v="Scottsdale"/>
    <s v="Arizona"/>
    <n v="85254"/>
    <x v="1"/>
    <s v="OFF-AP-10000326"/>
    <x v="1"/>
    <s v="Appliances"/>
    <n v="157.91999999999999"/>
    <n v="5"/>
    <n v="0.2"/>
    <n v="17.765999999999998"/>
    <x v="10"/>
    <n v="2016"/>
    <s v="Profit"/>
  </r>
  <r>
    <n v="153"/>
    <s v="CA-2016-158834"/>
    <x v="69"/>
    <s v="First Class"/>
    <s v="TW-21025"/>
    <x v="69"/>
    <s v="Home Office"/>
    <s v="United States"/>
    <s v="Scottsdale"/>
    <s v="Arizona"/>
    <n v="85254"/>
    <x v="1"/>
    <s v="TEC-PH-10001254"/>
    <x v="2"/>
    <s v="Phones"/>
    <n v="203.184"/>
    <n v="2"/>
    <n v="0.2"/>
    <n v="15.238799999999999"/>
    <x v="10"/>
    <n v="2016"/>
    <s v="Profit"/>
  </r>
  <r>
    <n v="154"/>
    <s v="CA-2015-124919"/>
    <x v="70"/>
    <s v="First Class"/>
    <s v="SP-20650"/>
    <x v="70"/>
    <s v="Corporate"/>
    <s v="United States"/>
    <s v="San Jose"/>
    <s v="California"/>
    <n v="95123"/>
    <x v="1"/>
    <s v="OFF-PA-10001950"/>
    <x v="1"/>
    <s v="Paper"/>
    <n v="58.38"/>
    <n v="7"/>
    <n v="0"/>
    <n v="26.271000000000001"/>
    <x v="5"/>
    <n v="2015"/>
    <s v="Profit"/>
  </r>
  <r>
    <n v="155"/>
    <s v="CA-2015-124919"/>
    <x v="70"/>
    <s v="First Class"/>
    <s v="SP-20650"/>
    <x v="70"/>
    <s v="Corporate"/>
    <s v="United States"/>
    <s v="San Jose"/>
    <s v="California"/>
    <n v="95123"/>
    <x v="1"/>
    <s v="OFF-PA-10002254"/>
    <x v="1"/>
    <s v="Paper"/>
    <n v="105.52"/>
    <n v="4"/>
    <n v="0"/>
    <n v="48.539200000000001"/>
    <x v="5"/>
    <n v="2015"/>
    <s v="Profit"/>
  </r>
  <r>
    <n v="156"/>
    <s v="CA-2015-124919"/>
    <x v="70"/>
    <s v="First Class"/>
    <s v="SP-20650"/>
    <x v="70"/>
    <s v="Corporate"/>
    <s v="United States"/>
    <s v="San Jose"/>
    <s v="California"/>
    <n v="95123"/>
    <x v="1"/>
    <s v="OFF-ST-10001590"/>
    <x v="1"/>
    <s v="Storage"/>
    <n v="80.88"/>
    <n v="6"/>
    <n v="0"/>
    <n v="21.0288"/>
    <x v="5"/>
    <n v="2015"/>
    <s v="Profit"/>
  </r>
  <r>
    <n v="157"/>
    <s v="CA-2015-118948"/>
    <x v="71"/>
    <s v="Standard Class"/>
    <s v="NK-18490"/>
    <x v="71"/>
    <s v="Home Office"/>
    <s v="United States"/>
    <s v="Seattle"/>
    <s v="Washington"/>
    <n v="98105"/>
    <x v="1"/>
    <s v="OFF-AR-10001547"/>
    <x v="1"/>
    <s v="Art"/>
    <n v="6.63"/>
    <n v="3"/>
    <n v="0"/>
    <n v="1.7901"/>
    <x v="5"/>
    <n v="2015"/>
    <s v="Profit"/>
  </r>
  <r>
    <n v="158"/>
    <s v="CA-2014-104269"/>
    <x v="72"/>
    <s v="Second Class"/>
    <s v="DB-13060"/>
    <x v="72"/>
    <s v="Consumer"/>
    <s v="United States"/>
    <s v="Seattle"/>
    <s v="Washington"/>
    <n v="98115"/>
    <x v="1"/>
    <s v="FUR-CH-10004063"/>
    <x v="0"/>
    <s v="Chairs"/>
    <n v="457.56799999999998"/>
    <n v="2"/>
    <n v="0.2"/>
    <n v="51.476399999999998"/>
    <x v="7"/>
    <n v="2014"/>
    <s v="Profit"/>
  </r>
  <r>
    <n v="159"/>
    <s v="CA-2016-114104"/>
    <x v="73"/>
    <s v="Standard Class"/>
    <s v="NP-18670"/>
    <x v="73"/>
    <s v="Consumer"/>
    <s v="United States"/>
    <s v="Edmond"/>
    <s v="Oklahoma"/>
    <n v="73034"/>
    <x v="2"/>
    <s v="OFF-LA-10002475"/>
    <x v="1"/>
    <s v="Labels"/>
    <n v="14.62"/>
    <n v="2"/>
    <n v="0"/>
    <n v="6.8714000000000004"/>
    <x v="2"/>
    <n v="2016"/>
    <s v="Profit"/>
  </r>
  <r>
    <n v="160"/>
    <s v="CA-2016-114104"/>
    <x v="73"/>
    <s v="Standard Class"/>
    <s v="NP-18670"/>
    <x v="73"/>
    <s v="Consumer"/>
    <s v="United States"/>
    <s v="Edmond"/>
    <s v="Oklahoma"/>
    <n v="73034"/>
    <x v="2"/>
    <s v="TEC-PH-10004536"/>
    <x v="2"/>
    <s v="Phones"/>
    <n v="944.93"/>
    <n v="7"/>
    <n v="0"/>
    <n v="236.23249999999999"/>
    <x v="2"/>
    <n v="2016"/>
    <s v="Profit"/>
  </r>
  <r>
    <n v="161"/>
    <s v="CA-2016-162733"/>
    <x v="74"/>
    <s v="First Class"/>
    <s v="TT-21070"/>
    <x v="74"/>
    <s v="Consumer"/>
    <s v="United States"/>
    <s v="Los Angeles"/>
    <s v="California"/>
    <n v="90045"/>
    <x v="1"/>
    <s v="OFF-PA-10002751"/>
    <x v="1"/>
    <s v="Paper"/>
    <n v="5.98"/>
    <n v="1"/>
    <n v="0"/>
    <n v="2.6909999999999998"/>
    <x v="2"/>
    <n v="2016"/>
    <s v="Profit"/>
  </r>
  <r>
    <n v="162"/>
    <s v="CA-2015-119697"/>
    <x v="75"/>
    <s v="Second Class"/>
    <s v="EM-13960"/>
    <x v="75"/>
    <s v="Consumer"/>
    <s v="United States"/>
    <s v="Philadelphia"/>
    <s v="Pennsylvania"/>
    <n v="19134"/>
    <x v="3"/>
    <s v="TEC-AC-10003657"/>
    <x v="2"/>
    <s v="Accessories"/>
    <n v="54.384"/>
    <n v="2"/>
    <n v="0.2"/>
    <n v="1.3595999999999999"/>
    <x v="1"/>
    <n v="2015"/>
    <s v="Profit"/>
  </r>
  <r>
    <n v="163"/>
    <s v="CA-2016-154508"/>
    <x v="76"/>
    <s v="Standard Class"/>
    <s v="RD-19900"/>
    <x v="76"/>
    <s v="Consumer"/>
    <s v="United States"/>
    <s v="Carlsbad"/>
    <s v="New Mexico"/>
    <n v="88220"/>
    <x v="1"/>
    <s v="OFF-EN-10001990"/>
    <x v="1"/>
    <s v="Envelopes"/>
    <n v="28.4"/>
    <n v="5"/>
    <n v="0"/>
    <n v="13.348000000000001"/>
    <x v="2"/>
    <n v="2016"/>
    <s v="Profit"/>
  </r>
  <r>
    <n v="164"/>
    <s v="CA-2016-113817"/>
    <x v="77"/>
    <s v="Standard Class"/>
    <s v="MJ-17740"/>
    <x v="77"/>
    <s v="Consumer"/>
    <s v="United States"/>
    <s v="Seattle"/>
    <s v="Washington"/>
    <n v="98115"/>
    <x v="1"/>
    <s v="OFF-BI-10004002"/>
    <x v="1"/>
    <s v="Binders"/>
    <n v="27.68"/>
    <n v="2"/>
    <n v="0.2"/>
    <n v="9.6880000000000006"/>
    <x v="6"/>
    <n v="2016"/>
    <s v="Profit"/>
  </r>
  <r>
    <n v="165"/>
    <s v="CA-2014-139892"/>
    <x v="78"/>
    <s v="Standard Class"/>
    <s v="BM-11140"/>
    <x v="78"/>
    <s v="Consumer"/>
    <s v="United States"/>
    <s v="San Antonio"/>
    <s v="Texas"/>
    <n v="78207"/>
    <x v="2"/>
    <s v="OFF-AR-10004441"/>
    <x v="1"/>
    <s v="Art"/>
    <n v="9.9359999999999999"/>
    <n v="3"/>
    <n v="0.2"/>
    <n v="2.7324000000000002"/>
    <x v="0"/>
    <n v="2014"/>
    <s v="Profit"/>
  </r>
  <r>
    <n v="166"/>
    <s v="CA-2014-139892"/>
    <x v="78"/>
    <s v="Standard Class"/>
    <s v="BM-11140"/>
    <x v="78"/>
    <s v="Consumer"/>
    <s v="United States"/>
    <s v="San Antonio"/>
    <s v="Texas"/>
    <n v="78207"/>
    <x v="2"/>
    <s v="TEC-MA-10000822"/>
    <x v="2"/>
    <s v="Machines"/>
    <n v="8159.9520000000002"/>
    <n v="8"/>
    <n v="0.4"/>
    <n v="-1359.992"/>
    <x v="0"/>
    <n v="2014"/>
    <s v="Loss"/>
  </r>
  <r>
    <n v="167"/>
    <s v="CA-2014-139892"/>
    <x v="78"/>
    <s v="Standard Class"/>
    <s v="BM-11140"/>
    <x v="78"/>
    <s v="Consumer"/>
    <s v="United States"/>
    <s v="San Antonio"/>
    <s v="Texas"/>
    <n v="78207"/>
    <x v="2"/>
    <s v="OFF-ST-10000991"/>
    <x v="1"/>
    <s v="Storage"/>
    <n v="275.928"/>
    <n v="3"/>
    <n v="0.2"/>
    <n v="-58.634700000000002"/>
    <x v="0"/>
    <n v="2014"/>
    <s v="Loss"/>
  </r>
  <r>
    <n v="168"/>
    <s v="CA-2014-139892"/>
    <x v="78"/>
    <s v="Standard Class"/>
    <s v="BM-11140"/>
    <x v="78"/>
    <s v="Consumer"/>
    <s v="United States"/>
    <s v="San Antonio"/>
    <s v="Texas"/>
    <n v="78207"/>
    <x v="2"/>
    <s v="FUR-CH-10004287"/>
    <x v="0"/>
    <s v="Chairs"/>
    <n v="1740.06"/>
    <n v="9"/>
    <n v="0.3"/>
    <n v="-24.858000000000001"/>
    <x v="0"/>
    <n v="2014"/>
    <s v="Loss"/>
  </r>
  <r>
    <n v="169"/>
    <s v="CA-2014-139892"/>
    <x v="78"/>
    <s v="Standard Class"/>
    <s v="BM-11140"/>
    <x v="78"/>
    <s v="Consumer"/>
    <s v="United States"/>
    <s v="San Antonio"/>
    <s v="Texas"/>
    <n v="78207"/>
    <x v="2"/>
    <s v="OFF-AR-10002656"/>
    <x v="1"/>
    <s v="Art"/>
    <n v="32.064"/>
    <n v="6"/>
    <n v="0.2"/>
    <n v="6.8136000000000001"/>
    <x v="0"/>
    <n v="2014"/>
    <s v="Profit"/>
  </r>
  <r>
    <n v="170"/>
    <s v="CA-2014-139892"/>
    <x v="78"/>
    <s v="Standard Class"/>
    <s v="BM-11140"/>
    <x v="78"/>
    <s v="Consumer"/>
    <s v="United States"/>
    <s v="San Antonio"/>
    <s v="Texas"/>
    <n v="78207"/>
    <x v="2"/>
    <s v="OFF-AP-10002518"/>
    <x v="1"/>
    <s v="Appliances"/>
    <n v="177.98"/>
    <n v="5"/>
    <n v="0.8"/>
    <n v="-453.84899999999999"/>
    <x v="0"/>
    <n v="2014"/>
    <s v="Loss"/>
  </r>
  <r>
    <n v="171"/>
    <s v="CA-2014-139892"/>
    <x v="78"/>
    <s v="Standard Class"/>
    <s v="BM-11140"/>
    <x v="78"/>
    <s v="Consumer"/>
    <s v="United States"/>
    <s v="San Antonio"/>
    <s v="Texas"/>
    <n v="78207"/>
    <x v="2"/>
    <s v="TEC-PH-10003931"/>
    <x v="2"/>
    <s v="Phones"/>
    <n v="143.976"/>
    <n v="3"/>
    <n v="0.2"/>
    <n v="8.9984999999999999"/>
    <x v="0"/>
    <n v="2014"/>
    <s v="Profit"/>
  </r>
  <r>
    <n v="172"/>
    <s v="CA-2014-118962"/>
    <x v="79"/>
    <s v="Standard Class"/>
    <s v="CS-12130"/>
    <x v="79"/>
    <s v="Consumer"/>
    <s v="United States"/>
    <s v="Los Angeles"/>
    <s v="California"/>
    <n v="90004"/>
    <x v="1"/>
    <s v="OFF-PA-10000659"/>
    <x v="1"/>
    <s v="Paper"/>
    <n v="20.94"/>
    <n v="3"/>
    <n v="0"/>
    <n v="9.8417999999999992"/>
    <x v="5"/>
    <n v="2014"/>
    <s v="Profit"/>
  </r>
  <r>
    <n v="173"/>
    <s v="CA-2014-118962"/>
    <x v="79"/>
    <s v="Standard Class"/>
    <s v="CS-12130"/>
    <x v="79"/>
    <s v="Consumer"/>
    <s v="United States"/>
    <s v="Los Angeles"/>
    <s v="California"/>
    <n v="90004"/>
    <x v="1"/>
    <s v="OFF-PA-10001144"/>
    <x v="1"/>
    <s v="Paper"/>
    <n v="110.96"/>
    <n v="2"/>
    <n v="0"/>
    <n v="53.260800000000003"/>
    <x v="5"/>
    <n v="2014"/>
    <s v="Profit"/>
  </r>
  <r>
    <n v="174"/>
    <s v="CA-2014-118962"/>
    <x v="79"/>
    <s v="Standard Class"/>
    <s v="CS-12130"/>
    <x v="79"/>
    <s v="Consumer"/>
    <s v="United States"/>
    <s v="Los Angeles"/>
    <s v="California"/>
    <n v="90004"/>
    <x v="1"/>
    <s v="FUR-CH-10003817"/>
    <x v="0"/>
    <s v="Chairs"/>
    <n v="340.14400000000001"/>
    <n v="7"/>
    <n v="0.2"/>
    <n v="21.259"/>
    <x v="5"/>
    <n v="2014"/>
    <s v="Profit"/>
  </r>
  <r>
    <n v="175"/>
    <s v="US-2014-100853"/>
    <x v="80"/>
    <s v="Standard Class"/>
    <s v="JB-15400"/>
    <x v="80"/>
    <s v="Corporate"/>
    <s v="United States"/>
    <s v="Chicago"/>
    <s v="Illinois"/>
    <n v="60623"/>
    <x v="2"/>
    <s v="OFF-AP-10000891"/>
    <x v="1"/>
    <s v="Appliances"/>
    <n v="52.448"/>
    <n v="2"/>
    <n v="0.8"/>
    <n v="-131.12"/>
    <x v="3"/>
    <n v="2014"/>
    <s v="Loss"/>
  </r>
  <r>
    <n v="176"/>
    <s v="US-2014-100853"/>
    <x v="80"/>
    <s v="Standard Class"/>
    <s v="JB-15400"/>
    <x v="80"/>
    <s v="Corporate"/>
    <s v="United States"/>
    <s v="Chicago"/>
    <s v="Illinois"/>
    <n v="60623"/>
    <x v="2"/>
    <s v="OFF-LA-10003148"/>
    <x v="1"/>
    <s v="Labels"/>
    <n v="20.16"/>
    <n v="4"/>
    <n v="0.2"/>
    <n v="6.5519999999999996"/>
    <x v="3"/>
    <n v="2014"/>
    <s v="Profit"/>
  </r>
  <r>
    <n v="177"/>
    <s v="US-2017-152366"/>
    <x v="81"/>
    <s v="Second Class"/>
    <s v="SJ-20500"/>
    <x v="81"/>
    <s v="Consumer"/>
    <s v="United States"/>
    <s v="Houston"/>
    <s v="Texas"/>
    <n v="77036"/>
    <x v="2"/>
    <s v="OFF-AP-10002684"/>
    <x v="1"/>
    <s v="Appliances"/>
    <n v="97.263999999999996"/>
    <n v="4"/>
    <n v="0.8"/>
    <n v="-243.16"/>
    <x v="4"/>
    <n v="2017"/>
    <s v="Loss"/>
  </r>
  <r>
    <n v="178"/>
    <s v="US-2015-101511"/>
    <x v="82"/>
    <s v="Second Class"/>
    <s v="JE-15745"/>
    <x v="32"/>
    <s v="Consumer"/>
    <s v="United States"/>
    <s v="Newark"/>
    <s v="Ohio"/>
    <n v="43055"/>
    <x v="3"/>
    <s v="FUR-CH-10004698"/>
    <x v="0"/>
    <s v="Chairs"/>
    <n v="396.80200000000002"/>
    <n v="7"/>
    <n v="0.3"/>
    <n v="-11.337199999999999"/>
    <x v="2"/>
    <n v="2015"/>
    <s v="Loss"/>
  </r>
  <r>
    <n v="179"/>
    <s v="US-2015-101511"/>
    <x v="82"/>
    <s v="Second Class"/>
    <s v="JE-15745"/>
    <x v="32"/>
    <s v="Consumer"/>
    <s v="United States"/>
    <s v="Newark"/>
    <s v="Ohio"/>
    <n v="43055"/>
    <x v="3"/>
    <s v="OFF-SU-10002189"/>
    <x v="1"/>
    <s v="Supplies"/>
    <n v="15.88"/>
    <n v="5"/>
    <n v="0.2"/>
    <n v="-3.7715000000000001"/>
    <x v="2"/>
    <n v="2015"/>
    <s v="Loss"/>
  </r>
  <r>
    <n v="180"/>
    <s v="CA-2015-137225"/>
    <x v="83"/>
    <s v="Standard Class"/>
    <s v="JK-15640"/>
    <x v="82"/>
    <s v="Home Office"/>
    <s v="United States"/>
    <s v="New York City"/>
    <s v="New York"/>
    <n v="10009"/>
    <x v="3"/>
    <s v="OFF-AR-10001940"/>
    <x v="1"/>
    <s v="Art"/>
    <n v="3.28"/>
    <n v="1"/>
    <n v="0"/>
    <n v="1.4104000000000001"/>
    <x v="1"/>
    <n v="2015"/>
    <s v="Profit"/>
  </r>
  <r>
    <n v="181"/>
    <s v="CA-2014-166191"/>
    <x v="29"/>
    <s v="Second Class"/>
    <s v="DK-13150"/>
    <x v="83"/>
    <s v="Corporate"/>
    <s v="United States"/>
    <s v="Decatur"/>
    <s v="Illinois"/>
    <n v="62521"/>
    <x v="2"/>
    <s v="OFF-ST-10003455"/>
    <x v="1"/>
    <s v="Storage"/>
    <n v="24.815999999999999"/>
    <n v="2"/>
    <n v="0.2"/>
    <n v="1.8612"/>
    <x v="5"/>
    <n v="2014"/>
    <s v="Profit"/>
  </r>
  <r>
    <n v="182"/>
    <s v="CA-2014-166191"/>
    <x v="29"/>
    <s v="Second Class"/>
    <s v="DK-13150"/>
    <x v="83"/>
    <s v="Corporate"/>
    <s v="United States"/>
    <s v="Decatur"/>
    <s v="Illinois"/>
    <n v="62521"/>
    <x v="2"/>
    <s v="TEC-AC-10004659"/>
    <x v="2"/>
    <s v="Accessories"/>
    <n v="408.74400000000003"/>
    <n v="7"/>
    <n v="0.2"/>
    <n v="76.639499999999998"/>
    <x v="5"/>
    <n v="2014"/>
    <s v="Profit"/>
  </r>
  <r>
    <n v="183"/>
    <s v="CA-2014-158274"/>
    <x v="84"/>
    <s v="Second Class"/>
    <s v="RM-19675"/>
    <x v="84"/>
    <s v="Home Office"/>
    <s v="United States"/>
    <s v="Monroe"/>
    <s v="Louisiana"/>
    <n v="71203"/>
    <x v="0"/>
    <s v="TEC-PH-10003273"/>
    <x v="2"/>
    <s v="Phones"/>
    <n v="503.96"/>
    <n v="4"/>
    <n v="0"/>
    <n v="131.02959999999999"/>
    <x v="2"/>
    <n v="2014"/>
    <s v="Profit"/>
  </r>
  <r>
    <n v="184"/>
    <s v="CA-2014-158274"/>
    <x v="84"/>
    <s v="Second Class"/>
    <s v="RM-19675"/>
    <x v="84"/>
    <s v="Home Office"/>
    <s v="United States"/>
    <s v="Monroe"/>
    <s v="Louisiana"/>
    <n v="71203"/>
    <x v="0"/>
    <s v="TEC-PH-10004896"/>
    <x v="2"/>
    <s v="Phones"/>
    <n v="149.94999999999999"/>
    <n v="5"/>
    <n v="0"/>
    <n v="41.985999999999997"/>
    <x v="2"/>
    <n v="2014"/>
    <s v="Profit"/>
  </r>
  <r>
    <n v="185"/>
    <s v="CA-2014-158274"/>
    <x v="84"/>
    <s v="Second Class"/>
    <s v="RM-19675"/>
    <x v="84"/>
    <s v="Home Office"/>
    <s v="United States"/>
    <s v="Monroe"/>
    <s v="Louisiana"/>
    <n v="71203"/>
    <x v="0"/>
    <s v="TEC-AC-10002345"/>
    <x v="2"/>
    <s v="Accessories"/>
    <n v="29"/>
    <n v="2"/>
    <n v="0"/>
    <n v="7.25"/>
    <x v="2"/>
    <n v="2014"/>
    <s v="Profit"/>
  </r>
  <r>
    <n v="186"/>
    <s v="CA-2016-105018"/>
    <x v="85"/>
    <s v="Standard Class"/>
    <s v="SK-19990"/>
    <x v="85"/>
    <s v="Consumer"/>
    <s v="United States"/>
    <s v="Fairfield"/>
    <s v="Connecticut"/>
    <n v="6824"/>
    <x v="3"/>
    <s v="OFF-BI-10001890"/>
    <x v="1"/>
    <s v="Binders"/>
    <n v="7.16"/>
    <n v="2"/>
    <n v="0"/>
    <n v="3.4367999999999999"/>
    <x v="2"/>
    <n v="2016"/>
    <s v="Profit"/>
  </r>
  <r>
    <n v="187"/>
    <s v="CA-2014-123260"/>
    <x v="86"/>
    <s v="Standard Class"/>
    <s v="FM-14290"/>
    <x v="86"/>
    <s v="Home Office"/>
    <s v="United States"/>
    <s v="Los Angeles"/>
    <s v="California"/>
    <n v="90032"/>
    <x v="1"/>
    <s v="TEC-AC-10002323"/>
    <x v="2"/>
    <s v="Accessories"/>
    <n v="176.8"/>
    <n v="8"/>
    <n v="0"/>
    <n v="22.984000000000002"/>
    <x v="0"/>
    <n v="2014"/>
    <s v="Profit"/>
  </r>
  <r>
    <n v="188"/>
    <s v="CA-2016-157000"/>
    <x v="87"/>
    <s v="Standard Class"/>
    <s v="AM-10360"/>
    <x v="87"/>
    <s v="Corporate"/>
    <s v="United States"/>
    <s v="Grand Prairie"/>
    <s v="Texas"/>
    <n v="75051"/>
    <x v="2"/>
    <s v="OFF-ST-10001328"/>
    <x v="1"/>
    <s v="Storage"/>
    <n v="37.223999999999997"/>
    <n v="3"/>
    <n v="0.2"/>
    <n v="3.7223999999999999"/>
    <x v="6"/>
    <n v="2016"/>
    <s v="Profit"/>
  </r>
  <r>
    <n v="189"/>
    <s v="CA-2016-157000"/>
    <x v="87"/>
    <s v="Standard Class"/>
    <s v="AM-10360"/>
    <x v="87"/>
    <s v="Corporate"/>
    <s v="United States"/>
    <s v="Grand Prairie"/>
    <s v="Texas"/>
    <n v="75051"/>
    <x v="2"/>
    <s v="OFF-PA-10001950"/>
    <x v="1"/>
    <s v="Paper"/>
    <n v="20.015999999999998"/>
    <n v="3"/>
    <n v="0.2"/>
    <n v="6.2549999999999999"/>
    <x v="6"/>
    <n v="2016"/>
    <s v="Profit"/>
  </r>
  <r>
    <n v="190"/>
    <s v="CA-2015-102281"/>
    <x v="88"/>
    <s v="First Class"/>
    <s v="MP-17470"/>
    <x v="88"/>
    <s v="Home Office"/>
    <s v="United States"/>
    <s v="New York City"/>
    <s v="New York"/>
    <n v="10035"/>
    <x v="3"/>
    <s v="FUR-BO-10002613"/>
    <x v="0"/>
    <s v="Bookcases"/>
    <n v="899.13599999999997"/>
    <n v="4"/>
    <n v="0.2"/>
    <n v="112.392"/>
    <x v="1"/>
    <n v="2015"/>
    <s v="Profit"/>
  </r>
  <r>
    <n v="191"/>
    <s v="CA-2015-102281"/>
    <x v="88"/>
    <s v="First Class"/>
    <s v="MP-17470"/>
    <x v="88"/>
    <s v="Home Office"/>
    <s v="United States"/>
    <s v="New York City"/>
    <s v="New York"/>
    <n v="10035"/>
    <x v="3"/>
    <s v="TEC-PH-10001552"/>
    <x v="2"/>
    <s v="Phones"/>
    <n v="71.760000000000005"/>
    <n v="6"/>
    <n v="0"/>
    <n v="20.0928"/>
    <x v="1"/>
    <n v="2015"/>
    <s v="Profit"/>
  </r>
  <r>
    <n v="192"/>
    <s v="CA-2015-102281"/>
    <x v="88"/>
    <s v="First Class"/>
    <s v="MP-17470"/>
    <x v="88"/>
    <s v="Home Office"/>
    <s v="United States"/>
    <s v="New York City"/>
    <s v="New York"/>
    <n v="10035"/>
    <x v="3"/>
    <s v="OFF-PA-10000061"/>
    <x v="1"/>
    <s v="Paper"/>
    <n v="51.84"/>
    <n v="8"/>
    <n v="0"/>
    <n v="24.883199999999999"/>
    <x v="1"/>
    <n v="2015"/>
    <s v="Profit"/>
  </r>
  <r>
    <n v="193"/>
    <s v="CA-2015-102281"/>
    <x v="88"/>
    <s v="First Class"/>
    <s v="MP-17470"/>
    <x v="88"/>
    <s v="Home Office"/>
    <s v="United States"/>
    <s v="New York City"/>
    <s v="New York"/>
    <n v="10035"/>
    <x v="3"/>
    <s v="FUR-BO-10002545"/>
    <x v="0"/>
    <s v="Bookcases"/>
    <n v="626.35199999999998"/>
    <n v="3"/>
    <n v="0.2"/>
    <n v="46.976399999999998"/>
    <x v="1"/>
    <n v="2015"/>
    <s v="Profit"/>
  </r>
  <r>
    <n v="194"/>
    <s v="CA-2015-102281"/>
    <x v="88"/>
    <s v="First Class"/>
    <s v="MP-17470"/>
    <x v="88"/>
    <s v="Home Office"/>
    <s v="United States"/>
    <s v="New York City"/>
    <s v="New York"/>
    <n v="10035"/>
    <x v="3"/>
    <s v="OFF-AR-10003514"/>
    <x v="1"/>
    <s v="Art"/>
    <n v="19.899999999999999"/>
    <n v="5"/>
    <n v="0"/>
    <n v="6.5670000000000002"/>
    <x v="1"/>
    <n v="2015"/>
    <s v="Profit"/>
  </r>
  <r>
    <n v="195"/>
    <s v="CA-2015-131457"/>
    <x v="89"/>
    <s v="Standard Class"/>
    <s v="MZ-17515"/>
    <x v="89"/>
    <s v="Corporate"/>
    <s v="United States"/>
    <s v="Redlands"/>
    <s v="California"/>
    <n v="92374"/>
    <x v="1"/>
    <s v="OFF-EN-10001509"/>
    <x v="1"/>
    <s v="Envelopes"/>
    <n v="14.28"/>
    <n v="7"/>
    <n v="0"/>
    <n v="6.7115999999999998"/>
    <x v="8"/>
    <n v="2015"/>
    <s v="Profit"/>
  </r>
  <r>
    <n v="196"/>
    <s v="CA-2014-140004"/>
    <x v="90"/>
    <s v="Standard Class"/>
    <s v="CB-12025"/>
    <x v="90"/>
    <s v="Consumer"/>
    <s v="United States"/>
    <s v="Hamilton"/>
    <s v="Ohio"/>
    <n v="45011"/>
    <x v="3"/>
    <s v="OFF-AR-10004685"/>
    <x v="1"/>
    <s v="Art"/>
    <n v="7.4080000000000004"/>
    <n v="2"/>
    <n v="0.2"/>
    <n v="1.2038"/>
    <x v="10"/>
    <n v="2014"/>
    <s v="Profit"/>
  </r>
  <r>
    <n v="197"/>
    <s v="CA-2014-140004"/>
    <x v="90"/>
    <s v="Standard Class"/>
    <s v="CB-12025"/>
    <x v="90"/>
    <s v="Consumer"/>
    <s v="United States"/>
    <s v="Hamilton"/>
    <s v="Ohio"/>
    <n v="45011"/>
    <x v="3"/>
    <s v="OFF-AR-10004027"/>
    <x v="1"/>
    <s v="Art"/>
    <n v="6.048"/>
    <n v="3"/>
    <n v="0.2"/>
    <n v="1.5875999999999999"/>
    <x v="10"/>
    <n v="2014"/>
    <s v="Profit"/>
  </r>
  <r>
    <n v="198"/>
    <s v="CA-2017-107720"/>
    <x v="44"/>
    <s v="Standard Class"/>
    <s v="VM-21685"/>
    <x v="91"/>
    <s v="Home Office"/>
    <s v="United States"/>
    <s v="Westfield"/>
    <s v="New Jersey"/>
    <n v="7090"/>
    <x v="3"/>
    <s v="OFF-ST-10001414"/>
    <x v="1"/>
    <s v="Storage"/>
    <n v="46.26"/>
    <n v="3"/>
    <n v="0"/>
    <n v="12.0276"/>
    <x v="9"/>
    <n v="2017"/>
    <s v="Profit"/>
  </r>
  <r>
    <n v="199"/>
    <s v="US-2017-124303"/>
    <x v="91"/>
    <s v="Standard Class"/>
    <s v="FH-14365"/>
    <x v="92"/>
    <s v="Corporate"/>
    <s v="United States"/>
    <s v="Philadelphia"/>
    <s v="Pennsylvania"/>
    <n v="19120"/>
    <x v="3"/>
    <s v="OFF-BI-10000343"/>
    <x v="1"/>
    <s v="Binders"/>
    <n v="2.9460000000000002"/>
    <n v="2"/>
    <n v="0.7"/>
    <n v="-2.2585999999999999"/>
    <x v="9"/>
    <n v="2017"/>
    <s v="Loss"/>
  </r>
  <r>
    <n v="200"/>
    <s v="US-2017-124303"/>
    <x v="91"/>
    <s v="Standard Class"/>
    <s v="FH-14365"/>
    <x v="92"/>
    <s v="Corporate"/>
    <s v="United States"/>
    <s v="Philadelphia"/>
    <s v="Pennsylvania"/>
    <n v="19120"/>
    <x v="3"/>
    <s v="OFF-PA-10002749"/>
    <x v="1"/>
    <s v="Paper"/>
    <n v="16.056000000000001"/>
    <n v="3"/>
    <n v="0.2"/>
    <n v="5.8202999999999996"/>
    <x v="9"/>
    <n v="2017"/>
    <s v="Profit"/>
  </r>
  <r>
    <n v="201"/>
    <s v="CA-2017-105074"/>
    <x v="92"/>
    <s v="Standard Class"/>
    <s v="MB-17305"/>
    <x v="93"/>
    <s v="Consumer"/>
    <s v="United States"/>
    <s v="Akron"/>
    <s v="Ohio"/>
    <n v="44312"/>
    <x v="3"/>
    <s v="OFF-PA-10002666"/>
    <x v="1"/>
    <s v="Paper"/>
    <n v="21.744"/>
    <n v="3"/>
    <n v="0.2"/>
    <n v="6.7949999999999999"/>
    <x v="9"/>
    <n v="2017"/>
    <s v="Profit"/>
  </r>
  <r>
    <n v="202"/>
    <s v="CA-2014-133690"/>
    <x v="93"/>
    <s v="First Class"/>
    <s v="BS-11755"/>
    <x v="94"/>
    <s v="Consumer"/>
    <s v="United States"/>
    <s v="Denver"/>
    <s v="Colorado"/>
    <n v="80219"/>
    <x v="1"/>
    <s v="FUR-TA-10004289"/>
    <x v="0"/>
    <s v="Tables"/>
    <n v="218.75"/>
    <n v="2"/>
    <n v="0.5"/>
    <n v="-161.875"/>
    <x v="10"/>
    <n v="2014"/>
    <s v="Loss"/>
  </r>
  <r>
    <n v="203"/>
    <s v="CA-2014-133690"/>
    <x v="93"/>
    <s v="First Class"/>
    <s v="BS-11755"/>
    <x v="94"/>
    <s v="Consumer"/>
    <s v="United States"/>
    <s v="Denver"/>
    <s v="Colorado"/>
    <n v="80219"/>
    <x v="1"/>
    <s v="OFF-AP-10003622"/>
    <x v="1"/>
    <s v="Appliances"/>
    <n v="2.6"/>
    <n v="1"/>
    <n v="0.2"/>
    <n v="0.29249999999999998"/>
    <x v="10"/>
    <n v="2014"/>
    <s v="Profit"/>
  </r>
  <r>
    <n v="204"/>
    <s v="US-2017-116701"/>
    <x v="94"/>
    <s v="Second Class"/>
    <s v="LC-17140"/>
    <x v="95"/>
    <s v="Consumer"/>
    <s v="United States"/>
    <s v="Dallas"/>
    <s v="Texas"/>
    <n v="75220"/>
    <x v="2"/>
    <s v="OFF-AP-10003217"/>
    <x v="1"/>
    <s v="Appliances"/>
    <n v="66.284000000000006"/>
    <n v="2"/>
    <n v="0.8"/>
    <n v="-178.96680000000001"/>
    <x v="1"/>
    <n v="2017"/>
    <s v="Loss"/>
  </r>
  <r>
    <n v="205"/>
    <s v="CA-2017-126382"/>
    <x v="95"/>
    <s v="Standard Class"/>
    <s v="HK-14890"/>
    <x v="96"/>
    <s v="Corporate"/>
    <s v="United States"/>
    <s v="Franklin"/>
    <s v="Tennessee"/>
    <n v="37064"/>
    <x v="0"/>
    <s v="FUR-FU-10002960"/>
    <x v="0"/>
    <s v="Furnishings"/>
    <n v="35.167999999999999"/>
    <n v="7"/>
    <n v="0.2"/>
    <n v="9.6712000000000007"/>
    <x v="10"/>
    <n v="2017"/>
    <s v="Profit"/>
  </r>
  <r>
    <n v="206"/>
    <s v="CA-2017-108329"/>
    <x v="34"/>
    <s v="Standard Class"/>
    <s v="LE-16810"/>
    <x v="97"/>
    <s v="Consumer"/>
    <s v="United States"/>
    <s v="Whittier"/>
    <s v="California"/>
    <n v="90604"/>
    <x v="1"/>
    <s v="TEC-PH-10001918"/>
    <x v="2"/>
    <s v="Phones"/>
    <n v="444.76799999999997"/>
    <n v="4"/>
    <n v="0.2"/>
    <n v="44.476799999999997"/>
    <x v="3"/>
    <n v="2017"/>
    <s v="Profit"/>
  </r>
  <r>
    <n v="207"/>
    <s v="CA-2017-135860"/>
    <x v="96"/>
    <s v="Standard Class"/>
    <s v="JH-15985"/>
    <x v="98"/>
    <s v="Consumer"/>
    <s v="United States"/>
    <s v="Saginaw"/>
    <s v="Michigan"/>
    <n v="48601"/>
    <x v="2"/>
    <s v="OFF-ST-10000642"/>
    <x v="1"/>
    <s v="Storage"/>
    <n v="83.92"/>
    <n v="4"/>
    <n v="0"/>
    <n v="5.8743999999999996"/>
    <x v="7"/>
    <n v="2017"/>
    <s v="Profit"/>
  </r>
  <r>
    <n v="208"/>
    <s v="CA-2017-135860"/>
    <x v="96"/>
    <s v="Standard Class"/>
    <s v="JH-15985"/>
    <x v="98"/>
    <s v="Consumer"/>
    <s v="United States"/>
    <s v="Saginaw"/>
    <s v="Michigan"/>
    <n v="48601"/>
    <x v="2"/>
    <s v="TEC-PH-10001700"/>
    <x v="2"/>
    <s v="Phones"/>
    <n v="131.97999999999999"/>
    <n v="2"/>
    <n v="0"/>
    <n v="35.634599999999999"/>
    <x v="7"/>
    <n v="2017"/>
    <s v="Profit"/>
  </r>
  <r>
    <n v="209"/>
    <s v="CA-2017-135860"/>
    <x v="96"/>
    <s v="Standard Class"/>
    <s v="JH-15985"/>
    <x v="98"/>
    <s v="Consumer"/>
    <s v="United States"/>
    <s v="Saginaw"/>
    <s v="Michigan"/>
    <n v="48601"/>
    <x v="2"/>
    <s v="OFF-BI-10003274"/>
    <x v="1"/>
    <s v="Binders"/>
    <n v="15.92"/>
    <n v="4"/>
    <n v="0"/>
    <n v="7.4824000000000002"/>
    <x v="7"/>
    <n v="2017"/>
    <s v="Profit"/>
  </r>
  <r>
    <n v="210"/>
    <s v="CA-2017-135860"/>
    <x v="96"/>
    <s v="Standard Class"/>
    <s v="JH-15985"/>
    <x v="98"/>
    <s v="Consumer"/>
    <s v="United States"/>
    <s v="Saginaw"/>
    <s v="Michigan"/>
    <n v="48601"/>
    <x v="2"/>
    <s v="OFF-FA-10000134"/>
    <x v="1"/>
    <s v="Fasteners"/>
    <n v="52.29"/>
    <n v="9"/>
    <n v="0"/>
    <n v="16.209900000000001"/>
    <x v="7"/>
    <n v="2017"/>
    <s v="Profit"/>
  </r>
  <r>
    <n v="211"/>
    <s v="CA-2017-135860"/>
    <x v="96"/>
    <s v="Standard Class"/>
    <s v="JH-15985"/>
    <x v="98"/>
    <s v="Consumer"/>
    <s v="United States"/>
    <s v="Saginaw"/>
    <s v="Michigan"/>
    <n v="48601"/>
    <x v="2"/>
    <s v="OFF-ST-10001522"/>
    <x v="1"/>
    <s v="Storage"/>
    <n v="91.99"/>
    <n v="1"/>
    <n v="0"/>
    <n v="3.6796000000000002"/>
    <x v="7"/>
    <n v="2017"/>
    <s v="Profit"/>
  </r>
  <r>
    <n v="212"/>
    <s v="CA-2015-101007"/>
    <x v="97"/>
    <s v="Second Class"/>
    <s v="MS-17980"/>
    <x v="99"/>
    <s v="Corporate"/>
    <s v="United States"/>
    <s v="Dallas"/>
    <s v="Texas"/>
    <n v="75220"/>
    <x v="2"/>
    <s v="TEC-AC-10001266"/>
    <x v="2"/>
    <s v="Accessories"/>
    <n v="20.8"/>
    <n v="2"/>
    <n v="0.2"/>
    <n v="6.5"/>
    <x v="3"/>
    <n v="2015"/>
    <s v="Profit"/>
  </r>
  <r>
    <n v="213"/>
    <s v="CA-2015-146262"/>
    <x v="98"/>
    <s v="Standard Class"/>
    <s v="VW-21775"/>
    <x v="100"/>
    <s v="Corporate"/>
    <s v="United States"/>
    <s v="Medina"/>
    <s v="Ohio"/>
    <n v="44256"/>
    <x v="3"/>
    <s v="OFF-LA-10004544"/>
    <x v="1"/>
    <s v="Labels"/>
    <n v="23.68"/>
    <n v="2"/>
    <n v="0.2"/>
    <n v="8.8800000000000008"/>
    <x v="11"/>
    <n v="2015"/>
    <s v="Profit"/>
  </r>
  <r>
    <n v="214"/>
    <s v="CA-2015-146262"/>
    <x v="98"/>
    <s v="Standard Class"/>
    <s v="VW-21775"/>
    <x v="100"/>
    <s v="Corporate"/>
    <s v="United States"/>
    <s v="Medina"/>
    <s v="Ohio"/>
    <n v="44256"/>
    <x v="3"/>
    <s v="FUR-BO-10004695"/>
    <x v="0"/>
    <s v="Bookcases"/>
    <n v="452.45"/>
    <n v="5"/>
    <n v="0.5"/>
    <n v="-244.32300000000001"/>
    <x v="11"/>
    <n v="2015"/>
    <s v="Loss"/>
  </r>
  <r>
    <n v="215"/>
    <s v="CA-2015-146262"/>
    <x v="98"/>
    <s v="Standard Class"/>
    <s v="VW-21775"/>
    <x v="100"/>
    <s v="Corporate"/>
    <s v="United States"/>
    <s v="Medina"/>
    <s v="Ohio"/>
    <n v="44256"/>
    <x v="3"/>
    <s v="TEC-PH-10002844"/>
    <x v="2"/>
    <s v="Phones"/>
    <n v="62.981999999999999"/>
    <n v="3"/>
    <n v="0.4"/>
    <n v="-14.6958"/>
    <x v="11"/>
    <n v="2015"/>
    <s v="Loss"/>
  </r>
  <r>
    <n v="216"/>
    <s v="CA-2015-146262"/>
    <x v="98"/>
    <s v="Standard Class"/>
    <s v="VW-21775"/>
    <x v="100"/>
    <s v="Corporate"/>
    <s v="United States"/>
    <s v="Medina"/>
    <s v="Ohio"/>
    <n v="44256"/>
    <x v="3"/>
    <s v="TEC-MA-10000864"/>
    <x v="2"/>
    <s v="Machines"/>
    <n v="1188"/>
    <n v="9"/>
    <n v="0.7"/>
    <n v="-950.4"/>
    <x v="11"/>
    <n v="2015"/>
    <s v="Loss"/>
  </r>
  <r>
    <n v="217"/>
    <s v="CA-2015-146262"/>
    <x v="98"/>
    <s v="Standard Class"/>
    <s v="VW-21775"/>
    <x v="100"/>
    <s v="Corporate"/>
    <s v="United States"/>
    <s v="Medina"/>
    <s v="Ohio"/>
    <n v="44256"/>
    <x v="3"/>
    <s v="TEC-AC-10000109"/>
    <x v="2"/>
    <s v="Accessories"/>
    <n v="89.584000000000003"/>
    <n v="2"/>
    <n v="0.2"/>
    <n v="4.4791999999999996"/>
    <x v="11"/>
    <n v="2015"/>
    <s v="Profit"/>
  </r>
  <r>
    <n v="218"/>
    <s v="CA-2016-130162"/>
    <x v="99"/>
    <s v="Standard Class"/>
    <s v="JH-15910"/>
    <x v="101"/>
    <s v="Consumer"/>
    <s v="United States"/>
    <s v="Los Angeles"/>
    <s v="California"/>
    <n v="90032"/>
    <x v="1"/>
    <s v="OFF-ST-10001328"/>
    <x v="1"/>
    <s v="Storage"/>
    <n v="93.06"/>
    <n v="6"/>
    <n v="0"/>
    <n v="26.056799999999999"/>
    <x v="8"/>
    <n v="2016"/>
    <s v="Profit"/>
  </r>
  <r>
    <n v="219"/>
    <s v="CA-2016-130162"/>
    <x v="99"/>
    <s v="Standard Class"/>
    <s v="JH-15910"/>
    <x v="101"/>
    <s v="Consumer"/>
    <s v="United States"/>
    <s v="Los Angeles"/>
    <s v="California"/>
    <n v="90032"/>
    <x v="1"/>
    <s v="TEC-PH-10002563"/>
    <x v="2"/>
    <s v="Phones"/>
    <n v="302.37599999999998"/>
    <n v="3"/>
    <n v="0.2"/>
    <n v="22.6782"/>
    <x v="8"/>
    <n v="2016"/>
    <s v="Profit"/>
  </r>
  <r>
    <n v="220"/>
    <s v="CA-2015-169397"/>
    <x v="100"/>
    <s v="First Class"/>
    <s v="JB-15925"/>
    <x v="102"/>
    <s v="Consumer"/>
    <s v="United States"/>
    <s v="Dublin"/>
    <s v="Ohio"/>
    <n v="43017"/>
    <x v="3"/>
    <s v="OFF-FA-10000585"/>
    <x v="1"/>
    <s v="Fasteners"/>
    <n v="5.5839999999999996"/>
    <n v="2"/>
    <n v="0.2"/>
    <n v="1.8148"/>
    <x v="1"/>
    <n v="2015"/>
    <s v="Profit"/>
  </r>
  <r>
    <n v="221"/>
    <s v="CA-2015-169397"/>
    <x v="100"/>
    <s v="First Class"/>
    <s v="JB-15925"/>
    <x v="102"/>
    <s v="Consumer"/>
    <s v="United States"/>
    <s v="Dublin"/>
    <s v="Ohio"/>
    <n v="43017"/>
    <x v="3"/>
    <s v="OFF-PA-10004000"/>
    <x v="1"/>
    <s v="Paper"/>
    <n v="22.704000000000001"/>
    <n v="6"/>
    <n v="0.2"/>
    <n v="8.2302"/>
    <x v="1"/>
    <n v="2015"/>
    <s v="Profit"/>
  </r>
  <r>
    <n v="222"/>
    <s v="CA-2015-169397"/>
    <x v="100"/>
    <s v="First Class"/>
    <s v="JB-15925"/>
    <x v="102"/>
    <s v="Consumer"/>
    <s v="United States"/>
    <s v="Dublin"/>
    <s v="Ohio"/>
    <n v="43017"/>
    <x v="3"/>
    <s v="OFF-BI-10002852"/>
    <x v="1"/>
    <s v="Binders"/>
    <n v="19.776"/>
    <n v="4"/>
    <n v="0.7"/>
    <n v="-13.8432"/>
    <x v="1"/>
    <n v="2015"/>
    <s v="Loss"/>
  </r>
  <r>
    <n v="223"/>
    <s v="CA-2015-169397"/>
    <x v="100"/>
    <s v="First Class"/>
    <s v="JB-15925"/>
    <x v="102"/>
    <s v="Consumer"/>
    <s v="United States"/>
    <s v="Dublin"/>
    <s v="Ohio"/>
    <n v="43017"/>
    <x v="3"/>
    <s v="FUR-FU-10000087"/>
    <x v="0"/>
    <s v="Furnishings"/>
    <n v="72.703999999999994"/>
    <n v="4"/>
    <n v="0.2"/>
    <n v="19.084800000000001"/>
    <x v="1"/>
    <n v="2015"/>
    <s v="Profit"/>
  </r>
  <r>
    <n v="224"/>
    <s v="CA-2015-169397"/>
    <x v="100"/>
    <s v="First Class"/>
    <s v="JB-15925"/>
    <x v="102"/>
    <s v="Consumer"/>
    <s v="United States"/>
    <s v="Dublin"/>
    <s v="Ohio"/>
    <n v="43017"/>
    <x v="3"/>
    <s v="TEC-MA-10001148"/>
    <x v="2"/>
    <s v="Machines"/>
    <n v="479.988"/>
    <n v="4"/>
    <n v="0.7"/>
    <n v="-383.99040000000002"/>
    <x v="1"/>
    <n v="2015"/>
    <s v="Loss"/>
  </r>
  <r>
    <n v="225"/>
    <s v="CA-2015-169397"/>
    <x v="100"/>
    <s v="First Class"/>
    <s v="JB-15925"/>
    <x v="102"/>
    <s v="Consumer"/>
    <s v="United States"/>
    <s v="Dublin"/>
    <s v="Ohio"/>
    <n v="43017"/>
    <x v="3"/>
    <s v="OFF-AR-10001958"/>
    <x v="1"/>
    <s v="Art"/>
    <n v="27.167999999999999"/>
    <n v="2"/>
    <n v="0.2"/>
    <n v="2.7168000000000001"/>
    <x v="1"/>
    <n v="2015"/>
    <s v="Profit"/>
  </r>
  <r>
    <n v="226"/>
    <s v="CA-2015-163055"/>
    <x v="101"/>
    <s v="Standard Class"/>
    <s v="DS-13180"/>
    <x v="103"/>
    <s v="Corporate"/>
    <s v="United States"/>
    <s v="Detroit"/>
    <s v="Michigan"/>
    <n v="48227"/>
    <x v="2"/>
    <s v="OFF-AR-10001026"/>
    <x v="1"/>
    <s v="Art"/>
    <n v="2.2000000000000002"/>
    <n v="1"/>
    <n v="0"/>
    <n v="0.96799999999999997"/>
    <x v="3"/>
    <n v="2015"/>
    <s v="Profit"/>
  </r>
  <r>
    <n v="227"/>
    <s v="CA-2015-163055"/>
    <x v="101"/>
    <s v="Standard Class"/>
    <s v="DS-13180"/>
    <x v="103"/>
    <s v="Corporate"/>
    <s v="United States"/>
    <s v="Detroit"/>
    <s v="Michigan"/>
    <n v="48227"/>
    <x v="2"/>
    <s v="FUR-TA-10003748"/>
    <x v="0"/>
    <s v="Tables"/>
    <n v="622.45000000000005"/>
    <n v="5"/>
    <n v="0"/>
    <n v="136.93899999999999"/>
    <x v="3"/>
    <n v="2015"/>
    <s v="Profit"/>
  </r>
  <r>
    <n v="228"/>
    <s v="CA-2015-163055"/>
    <x v="101"/>
    <s v="Standard Class"/>
    <s v="DS-13180"/>
    <x v="103"/>
    <s v="Corporate"/>
    <s v="United States"/>
    <s v="Detroit"/>
    <s v="Michigan"/>
    <n v="48227"/>
    <x v="2"/>
    <s v="OFF-ST-10002485"/>
    <x v="1"/>
    <s v="Storage"/>
    <n v="21.98"/>
    <n v="1"/>
    <n v="0"/>
    <n v="0.2198"/>
    <x v="3"/>
    <n v="2015"/>
    <s v="Profit"/>
  </r>
  <r>
    <n v="229"/>
    <s v="US-2015-145436"/>
    <x v="102"/>
    <s v="Standard Class"/>
    <s v="VD-21670"/>
    <x v="104"/>
    <s v="Consumer"/>
    <s v="United States"/>
    <s v="Columbia"/>
    <s v="Tennessee"/>
    <n v="38401"/>
    <x v="0"/>
    <s v="FUR-CH-10004860"/>
    <x v="0"/>
    <s v="Chairs"/>
    <n v="161.56800000000001"/>
    <n v="2"/>
    <n v="0.2"/>
    <n v="-28.2744"/>
    <x v="11"/>
    <n v="2015"/>
    <s v="Loss"/>
  </r>
  <r>
    <n v="230"/>
    <s v="US-2015-145436"/>
    <x v="102"/>
    <s v="Standard Class"/>
    <s v="VD-21670"/>
    <x v="104"/>
    <s v="Consumer"/>
    <s v="United States"/>
    <s v="Columbia"/>
    <s v="Tennessee"/>
    <n v="38401"/>
    <x v="0"/>
    <s v="FUR-CH-10004477"/>
    <x v="0"/>
    <s v="Chairs"/>
    <n v="389.69600000000003"/>
    <n v="8"/>
    <n v="0.2"/>
    <n v="43.840800000000002"/>
    <x v="11"/>
    <n v="2015"/>
    <s v="Profit"/>
  </r>
  <r>
    <n v="231"/>
    <s v="US-2014-156216"/>
    <x v="103"/>
    <s v="Standard Class"/>
    <s v="EA-14035"/>
    <x v="105"/>
    <s v="Corporate"/>
    <s v="United States"/>
    <s v="Charlotte"/>
    <s v="North Carolina"/>
    <n v="28205"/>
    <x v="0"/>
    <s v="OFF-BI-10001679"/>
    <x v="1"/>
    <s v="Binders"/>
    <n v="18.648"/>
    <n v="7"/>
    <n v="0.7"/>
    <n v="-12.432"/>
    <x v="3"/>
    <n v="2014"/>
    <s v="Loss"/>
  </r>
  <r>
    <n v="232"/>
    <s v="US-2017-100930"/>
    <x v="104"/>
    <s v="Standard Class"/>
    <s v="CS-12400"/>
    <x v="37"/>
    <s v="Home Office"/>
    <s v="United States"/>
    <s v="Tampa"/>
    <s v="Florida"/>
    <n v="33614"/>
    <x v="0"/>
    <s v="FUR-TA-10001705"/>
    <x v="0"/>
    <s v="Tables"/>
    <n v="233.86"/>
    <n v="2"/>
    <n v="0.45"/>
    <n v="-102.048"/>
    <x v="6"/>
    <n v="2017"/>
    <s v="Loss"/>
  </r>
  <r>
    <n v="233"/>
    <s v="US-2017-100930"/>
    <x v="104"/>
    <s v="Standard Class"/>
    <s v="CS-12400"/>
    <x v="37"/>
    <s v="Home Office"/>
    <s v="United States"/>
    <s v="Tampa"/>
    <s v="Florida"/>
    <n v="33614"/>
    <x v="0"/>
    <s v="FUR-TA-10003473"/>
    <x v="0"/>
    <s v="Tables"/>
    <n v="620.61450000000002"/>
    <n v="3"/>
    <n v="0.45"/>
    <n v="-248.2458"/>
    <x v="6"/>
    <n v="2017"/>
    <s v="Loss"/>
  </r>
  <r>
    <n v="234"/>
    <s v="US-2017-100930"/>
    <x v="104"/>
    <s v="Standard Class"/>
    <s v="CS-12400"/>
    <x v="37"/>
    <s v="Home Office"/>
    <s v="United States"/>
    <s v="Tampa"/>
    <s v="Florida"/>
    <n v="33614"/>
    <x v="0"/>
    <s v="OFF-BI-10001679"/>
    <x v="1"/>
    <s v="Binders"/>
    <n v="5.3280000000000003"/>
    <n v="2"/>
    <n v="0.7"/>
    <n v="-3.552"/>
    <x v="6"/>
    <n v="2017"/>
    <s v="Loss"/>
  </r>
  <r>
    <n v="235"/>
    <s v="US-2017-100930"/>
    <x v="104"/>
    <s v="Standard Class"/>
    <s v="CS-12400"/>
    <x v="37"/>
    <s v="Home Office"/>
    <s v="United States"/>
    <s v="Tampa"/>
    <s v="Florida"/>
    <n v="33614"/>
    <x v="0"/>
    <s v="FUR-FU-10004017"/>
    <x v="0"/>
    <s v="Furnishings"/>
    <n v="258.072"/>
    <n v="3"/>
    <n v="0.2"/>
    <n v="0"/>
    <x v="6"/>
    <n v="2017"/>
    <s v="Loss"/>
  </r>
  <r>
    <n v="236"/>
    <s v="US-2017-100930"/>
    <x v="104"/>
    <s v="Standard Class"/>
    <s v="CS-12400"/>
    <x v="37"/>
    <s v="Home Office"/>
    <s v="United States"/>
    <s v="Tampa"/>
    <s v="Florida"/>
    <n v="33614"/>
    <x v="0"/>
    <s v="TEC-AC-10003832"/>
    <x v="2"/>
    <s v="Accessories"/>
    <n v="617.976"/>
    <n v="3"/>
    <n v="0.2"/>
    <n v="-7.7247000000000003"/>
    <x v="6"/>
    <n v="2017"/>
    <s v="Loss"/>
  </r>
  <r>
    <n v="237"/>
    <s v="CA-2017-160514"/>
    <x v="105"/>
    <s v="Standard Class"/>
    <s v="DB-13120"/>
    <x v="106"/>
    <s v="Corporate"/>
    <s v="United States"/>
    <s v="Santa Clara"/>
    <s v="California"/>
    <n v="95051"/>
    <x v="1"/>
    <s v="OFF-PA-10002479"/>
    <x v="1"/>
    <s v="Paper"/>
    <n v="10.56"/>
    <n v="2"/>
    <n v="0"/>
    <n v="4.7519999999999998"/>
    <x v="1"/>
    <n v="2017"/>
    <s v="Profit"/>
  </r>
  <r>
    <n v="238"/>
    <s v="CA-2016-157749"/>
    <x v="30"/>
    <s v="Second Class"/>
    <s v="KL-16645"/>
    <x v="107"/>
    <s v="Consumer"/>
    <s v="United States"/>
    <s v="Chicago"/>
    <s v="Illinois"/>
    <n v="60610"/>
    <x v="2"/>
    <s v="OFF-PA-10003349"/>
    <x v="1"/>
    <s v="Paper"/>
    <n v="25.92"/>
    <n v="5"/>
    <n v="0.2"/>
    <n v="9.3960000000000008"/>
    <x v="4"/>
    <n v="2016"/>
    <s v="Profit"/>
  </r>
  <r>
    <n v="239"/>
    <s v="CA-2016-157749"/>
    <x v="30"/>
    <s v="Second Class"/>
    <s v="KL-16645"/>
    <x v="107"/>
    <s v="Consumer"/>
    <s v="United States"/>
    <s v="Chicago"/>
    <s v="Illinois"/>
    <n v="60610"/>
    <x v="2"/>
    <s v="FUR-FU-10000576"/>
    <x v="0"/>
    <s v="Furnishings"/>
    <n v="419.68"/>
    <n v="5"/>
    <n v="0.6"/>
    <n v="-356.72800000000001"/>
    <x v="4"/>
    <n v="2016"/>
    <s v="Loss"/>
  </r>
  <r>
    <n v="240"/>
    <s v="CA-2016-157749"/>
    <x v="30"/>
    <s v="Second Class"/>
    <s v="KL-16645"/>
    <x v="107"/>
    <s v="Consumer"/>
    <s v="United States"/>
    <s v="Chicago"/>
    <s v="Illinois"/>
    <n v="60610"/>
    <x v="2"/>
    <s v="FUR-FU-10004351"/>
    <x v="0"/>
    <s v="Furnishings"/>
    <n v="11.688000000000001"/>
    <n v="3"/>
    <n v="0.6"/>
    <n v="-4.6752000000000002"/>
    <x v="4"/>
    <n v="2016"/>
    <s v="Loss"/>
  </r>
  <r>
    <n v="241"/>
    <s v="CA-2016-157749"/>
    <x v="30"/>
    <s v="Second Class"/>
    <s v="KL-16645"/>
    <x v="107"/>
    <s v="Consumer"/>
    <s v="United States"/>
    <s v="Chicago"/>
    <s v="Illinois"/>
    <n v="60610"/>
    <x v="2"/>
    <s v="TEC-PH-10000011"/>
    <x v="2"/>
    <s v="Phones"/>
    <n v="31.984000000000002"/>
    <n v="2"/>
    <n v="0.2"/>
    <n v="11.1944"/>
    <x v="4"/>
    <n v="2016"/>
    <s v="Profit"/>
  </r>
  <r>
    <n v="242"/>
    <s v="CA-2016-157749"/>
    <x v="30"/>
    <s v="Second Class"/>
    <s v="KL-16645"/>
    <x v="107"/>
    <s v="Consumer"/>
    <s v="United States"/>
    <s v="Chicago"/>
    <s v="Illinois"/>
    <n v="60610"/>
    <x v="2"/>
    <s v="FUR-TA-10002607"/>
    <x v="0"/>
    <s v="Tables"/>
    <n v="177.22499999999999"/>
    <n v="5"/>
    <n v="0.5"/>
    <n v="-120.51300000000001"/>
    <x v="4"/>
    <n v="2016"/>
    <s v="Loss"/>
  </r>
  <r>
    <n v="243"/>
    <s v="CA-2016-157749"/>
    <x v="30"/>
    <s v="Second Class"/>
    <s v="KL-16645"/>
    <x v="107"/>
    <s v="Consumer"/>
    <s v="United States"/>
    <s v="Chicago"/>
    <s v="Illinois"/>
    <n v="60610"/>
    <x v="2"/>
    <s v="FUR-FU-10002505"/>
    <x v="0"/>
    <s v="Furnishings"/>
    <n v="4.0439999999999996"/>
    <n v="3"/>
    <n v="0.6"/>
    <n v="-2.8308"/>
    <x v="4"/>
    <n v="2016"/>
    <s v="Loss"/>
  </r>
  <r>
    <n v="244"/>
    <s v="CA-2016-157749"/>
    <x v="30"/>
    <s v="Second Class"/>
    <s v="KL-16645"/>
    <x v="107"/>
    <s v="Consumer"/>
    <s v="United States"/>
    <s v="Chicago"/>
    <s v="Illinois"/>
    <n v="60610"/>
    <x v="2"/>
    <s v="OFF-AR-10004685"/>
    <x v="1"/>
    <s v="Art"/>
    <n v="7.4080000000000004"/>
    <n v="2"/>
    <n v="0.2"/>
    <n v="1.2038"/>
    <x v="4"/>
    <n v="2016"/>
    <s v="Profit"/>
  </r>
  <r>
    <n v="245"/>
    <s v="CA-2014-131926"/>
    <x v="106"/>
    <s v="Second Class"/>
    <s v="DW-13480"/>
    <x v="108"/>
    <s v="Home Office"/>
    <s v="United States"/>
    <s v="Lakeville"/>
    <s v="Minnesota"/>
    <n v="55044"/>
    <x v="2"/>
    <s v="FUR-CH-10004063"/>
    <x v="0"/>
    <s v="Chairs"/>
    <n v="2001.86"/>
    <n v="7"/>
    <n v="0"/>
    <n v="580.5394"/>
    <x v="7"/>
    <n v="2014"/>
    <s v="Profit"/>
  </r>
  <r>
    <n v="246"/>
    <s v="CA-2014-131926"/>
    <x v="106"/>
    <s v="Second Class"/>
    <s v="DW-13480"/>
    <x v="108"/>
    <s v="Home Office"/>
    <s v="United States"/>
    <s v="Lakeville"/>
    <s v="Minnesota"/>
    <n v="55044"/>
    <x v="2"/>
    <s v="OFF-ST-10002276"/>
    <x v="1"/>
    <s v="Storage"/>
    <n v="166.72"/>
    <n v="2"/>
    <n v="0"/>
    <n v="41.68"/>
    <x v="7"/>
    <n v="2014"/>
    <s v="Profit"/>
  </r>
  <r>
    <n v="247"/>
    <s v="CA-2014-131926"/>
    <x v="106"/>
    <s v="Second Class"/>
    <s v="DW-13480"/>
    <x v="108"/>
    <s v="Home Office"/>
    <s v="United States"/>
    <s v="Lakeville"/>
    <s v="Minnesota"/>
    <n v="55044"/>
    <x v="2"/>
    <s v="OFF-PA-10004082"/>
    <x v="1"/>
    <s v="Paper"/>
    <n v="47.88"/>
    <n v="6"/>
    <n v="0"/>
    <n v="23.94"/>
    <x v="7"/>
    <n v="2014"/>
    <s v="Profit"/>
  </r>
  <r>
    <n v="248"/>
    <s v="CA-2014-131926"/>
    <x v="106"/>
    <s v="Second Class"/>
    <s v="DW-13480"/>
    <x v="108"/>
    <s v="Home Office"/>
    <s v="United States"/>
    <s v="Lakeville"/>
    <s v="Minnesota"/>
    <n v="55044"/>
    <x v="2"/>
    <s v="OFF-AP-10002945"/>
    <x v="1"/>
    <s v="Appliances"/>
    <n v="1503.25"/>
    <n v="5"/>
    <n v="0"/>
    <n v="496.07249999999999"/>
    <x v="7"/>
    <n v="2014"/>
    <s v="Profit"/>
  </r>
  <r>
    <n v="249"/>
    <s v="CA-2014-131926"/>
    <x v="106"/>
    <s v="Second Class"/>
    <s v="DW-13480"/>
    <x v="108"/>
    <s v="Home Office"/>
    <s v="United States"/>
    <s v="Lakeville"/>
    <s v="Minnesota"/>
    <n v="55044"/>
    <x v="2"/>
    <s v="OFF-PA-10000061"/>
    <x v="1"/>
    <s v="Paper"/>
    <n v="25.92"/>
    <n v="4"/>
    <n v="0"/>
    <n v="12.441599999999999"/>
    <x v="7"/>
    <n v="2014"/>
    <s v="Profit"/>
  </r>
  <r>
    <n v="250"/>
    <s v="CA-2016-154739"/>
    <x v="107"/>
    <s v="Second Class"/>
    <s v="LH-17155"/>
    <x v="109"/>
    <s v="Consumer"/>
    <s v="United States"/>
    <s v="San Francisco"/>
    <s v="California"/>
    <n v="94109"/>
    <x v="1"/>
    <s v="FUR-CH-10002965"/>
    <x v="0"/>
    <s v="Chairs"/>
    <n v="321.56799999999998"/>
    <n v="2"/>
    <n v="0.2"/>
    <n v="28.1372"/>
    <x v="8"/>
    <n v="2016"/>
    <s v="Profit"/>
  </r>
  <r>
    <n v="251"/>
    <s v="CA-2016-145625"/>
    <x v="108"/>
    <s v="Standard Class"/>
    <s v="KC-16540"/>
    <x v="110"/>
    <s v="Consumer"/>
    <s v="United States"/>
    <s v="San Diego"/>
    <s v="California"/>
    <n v="92037"/>
    <x v="1"/>
    <s v="OFF-PA-10004569"/>
    <x v="1"/>
    <s v="Paper"/>
    <n v="7.61"/>
    <n v="1"/>
    <n v="0"/>
    <n v="3.5767000000000002"/>
    <x v="2"/>
    <n v="2016"/>
    <s v="Profit"/>
  </r>
  <r>
    <n v="252"/>
    <s v="CA-2016-145625"/>
    <x v="108"/>
    <s v="Standard Class"/>
    <s v="KC-16540"/>
    <x v="110"/>
    <s v="Consumer"/>
    <s v="United States"/>
    <s v="San Diego"/>
    <s v="California"/>
    <n v="92037"/>
    <x v="1"/>
    <s v="TEC-AC-10003832"/>
    <x v="2"/>
    <s v="Accessories"/>
    <n v="3347.37"/>
    <n v="13"/>
    <n v="0"/>
    <n v="636.00030000000004"/>
    <x v="2"/>
    <n v="2016"/>
    <s v="Profit"/>
  </r>
  <r>
    <n v="253"/>
    <s v="CA-2016-146941"/>
    <x v="107"/>
    <s v="First Class"/>
    <s v="DL-13315"/>
    <x v="111"/>
    <s v="Consumer"/>
    <s v="United States"/>
    <s v="New York City"/>
    <s v="New York"/>
    <n v="10024"/>
    <x v="3"/>
    <s v="OFF-ST-10001228"/>
    <x v="1"/>
    <s v="Storage"/>
    <n v="80.58"/>
    <n v="6"/>
    <n v="0"/>
    <n v="22.5624"/>
    <x v="8"/>
    <n v="2016"/>
    <s v="Profit"/>
  </r>
  <r>
    <n v="254"/>
    <s v="CA-2016-146941"/>
    <x v="107"/>
    <s v="First Class"/>
    <s v="DL-13315"/>
    <x v="111"/>
    <s v="Consumer"/>
    <s v="United States"/>
    <s v="New York City"/>
    <s v="New York"/>
    <n v="10024"/>
    <x v="3"/>
    <s v="OFF-EN-10003296"/>
    <x v="1"/>
    <s v="Envelopes"/>
    <n v="361.92"/>
    <n v="4"/>
    <n v="0"/>
    <n v="162.864"/>
    <x v="8"/>
    <n v="2016"/>
    <s v="Profit"/>
  </r>
  <r>
    <n v="255"/>
    <s v="US-2015-159982"/>
    <x v="109"/>
    <s v="Standard Class"/>
    <s v="DR-12880"/>
    <x v="112"/>
    <s v="Corporate"/>
    <s v="United States"/>
    <s v="Chicago"/>
    <s v="Illinois"/>
    <n v="60623"/>
    <x v="2"/>
    <s v="FUR-FU-10002505"/>
    <x v="0"/>
    <s v="Furnishings"/>
    <n v="12.132"/>
    <n v="9"/>
    <n v="0.6"/>
    <n v="-8.4923999999999999"/>
    <x v="2"/>
    <n v="2015"/>
    <s v="Loss"/>
  </r>
  <r>
    <n v="256"/>
    <s v="US-2015-159982"/>
    <x v="109"/>
    <s v="Standard Class"/>
    <s v="DR-12880"/>
    <x v="112"/>
    <s v="Corporate"/>
    <s v="United States"/>
    <s v="Chicago"/>
    <s v="Illinois"/>
    <n v="60623"/>
    <x v="2"/>
    <s v="OFF-ST-10004804"/>
    <x v="1"/>
    <s v="Storage"/>
    <n v="82.367999999999995"/>
    <n v="2"/>
    <n v="0.2"/>
    <n v="-19.5624"/>
    <x v="2"/>
    <n v="2015"/>
    <s v="Loss"/>
  </r>
  <r>
    <n v="257"/>
    <s v="US-2015-159982"/>
    <x v="109"/>
    <s v="Standard Class"/>
    <s v="DR-12880"/>
    <x v="112"/>
    <s v="Corporate"/>
    <s v="United States"/>
    <s v="Chicago"/>
    <s v="Illinois"/>
    <n v="60623"/>
    <x v="2"/>
    <s v="OFF-ST-10001590"/>
    <x v="1"/>
    <s v="Storage"/>
    <n v="53.92"/>
    <n v="5"/>
    <n v="0.2"/>
    <n v="4.0439999999999996"/>
    <x v="2"/>
    <n v="2015"/>
    <s v="Profit"/>
  </r>
  <r>
    <n v="258"/>
    <s v="US-2015-159982"/>
    <x v="109"/>
    <s v="Standard Class"/>
    <s v="DR-12880"/>
    <x v="112"/>
    <s v="Corporate"/>
    <s v="United States"/>
    <s v="Chicago"/>
    <s v="Illinois"/>
    <n v="60623"/>
    <x v="2"/>
    <s v="TEC-PH-10001580"/>
    <x v="2"/>
    <s v="Phones"/>
    <n v="647.904"/>
    <n v="6"/>
    <n v="0.2"/>
    <n v="56.691600000000001"/>
    <x v="2"/>
    <n v="2015"/>
    <s v="Profit"/>
  </r>
  <r>
    <n v="259"/>
    <s v="CA-2017-163139"/>
    <x v="96"/>
    <s v="Second Class"/>
    <s v="CC-12670"/>
    <x v="113"/>
    <s v="Consumer"/>
    <s v="United States"/>
    <s v="New York City"/>
    <s v="New York"/>
    <n v="10009"/>
    <x v="3"/>
    <s v="TEC-AC-10000290"/>
    <x v="2"/>
    <s v="Accessories"/>
    <n v="20.37"/>
    <n v="3"/>
    <n v="0"/>
    <n v="6.9257999999999997"/>
    <x v="7"/>
    <n v="2017"/>
    <s v="Profit"/>
  </r>
  <r>
    <n v="260"/>
    <s v="CA-2017-163139"/>
    <x v="96"/>
    <s v="Second Class"/>
    <s v="CC-12670"/>
    <x v="113"/>
    <s v="Consumer"/>
    <s v="United States"/>
    <s v="New York City"/>
    <s v="New York"/>
    <n v="10009"/>
    <x v="3"/>
    <s v="OFF-ST-10002790"/>
    <x v="1"/>
    <s v="Storage"/>
    <n v="221.55"/>
    <n v="3"/>
    <n v="0"/>
    <n v="6.6464999999999996"/>
    <x v="7"/>
    <n v="2017"/>
    <s v="Profit"/>
  </r>
  <r>
    <n v="261"/>
    <s v="CA-2017-163139"/>
    <x v="96"/>
    <s v="Second Class"/>
    <s v="CC-12670"/>
    <x v="113"/>
    <s v="Consumer"/>
    <s v="United States"/>
    <s v="New York City"/>
    <s v="New York"/>
    <n v="10009"/>
    <x v="3"/>
    <s v="OFF-BI-10003460"/>
    <x v="1"/>
    <s v="Binders"/>
    <n v="17.52"/>
    <n v="5"/>
    <n v="0.2"/>
    <n v="6.1319999999999997"/>
    <x v="7"/>
    <n v="2017"/>
    <s v="Profit"/>
  </r>
  <r>
    <n v="262"/>
    <s v="US-2017-155299"/>
    <x v="110"/>
    <s v="Standard Class"/>
    <s v="Dl-13600"/>
    <x v="114"/>
    <s v="Corporate"/>
    <s v="United States"/>
    <s v="Pasadena"/>
    <s v="Texas"/>
    <n v="77506"/>
    <x v="2"/>
    <s v="OFF-AP-10002203"/>
    <x v="1"/>
    <s v="Appliances"/>
    <n v="1.6240000000000001"/>
    <n v="2"/>
    <n v="0.8"/>
    <n v="-4.4660000000000002"/>
    <x v="0"/>
    <n v="2017"/>
    <s v="Loss"/>
  </r>
  <r>
    <n v="263"/>
    <s v="US-2014-106992"/>
    <x v="111"/>
    <s v="Second Class"/>
    <s v="SB-20290"/>
    <x v="115"/>
    <s v="Corporate"/>
    <s v="United States"/>
    <s v="Houston"/>
    <s v="Texas"/>
    <n v="77036"/>
    <x v="2"/>
    <s v="TEC-MA-10000822"/>
    <x v="2"/>
    <s v="Machines"/>
    <n v="3059.982"/>
    <n v="3"/>
    <n v="0.4"/>
    <n v="-509.99700000000001"/>
    <x v="3"/>
    <n v="2014"/>
    <s v="Loss"/>
  </r>
  <r>
    <n v="264"/>
    <s v="US-2014-106992"/>
    <x v="111"/>
    <s v="Second Class"/>
    <s v="SB-20290"/>
    <x v="115"/>
    <s v="Corporate"/>
    <s v="United States"/>
    <s v="Houston"/>
    <s v="Texas"/>
    <n v="77036"/>
    <x v="2"/>
    <s v="TEC-MA-10003353"/>
    <x v="2"/>
    <s v="Machines"/>
    <n v="2519.9580000000001"/>
    <n v="7"/>
    <n v="0.4"/>
    <n v="-251.9958"/>
    <x v="3"/>
    <n v="2014"/>
    <s v="Loss"/>
  </r>
  <r>
    <n v="265"/>
    <s v="CA-2016-125318"/>
    <x v="112"/>
    <s v="Standard Class"/>
    <s v="RC-19825"/>
    <x v="116"/>
    <s v="Consumer"/>
    <s v="United States"/>
    <s v="Chicago"/>
    <s v="Illinois"/>
    <n v="60610"/>
    <x v="2"/>
    <s v="TEC-PH-10001433"/>
    <x v="2"/>
    <s v="Phones"/>
    <n v="328.22399999999999"/>
    <n v="4"/>
    <n v="0.2"/>
    <n v="28.7196"/>
    <x v="9"/>
    <n v="2016"/>
    <s v="Profit"/>
  </r>
  <r>
    <n v="266"/>
    <s v="CA-2015-155040"/>
    <x v="113"/>
    <s v="Standard Class"/>
    <s v="AH-10210"/>
    <x v="117"/>
    <s v="Consumer"/>
    <s v="United States"/>
    <s v="Brentwood"/>
    <s v="California"/>
    <n v="94513"/>
    <x v="1"/>
    <s v="TEC-AC-10004469"/>
    <x v="2"/>
    <s v="Accessories"/>
    <n v="79.900000000000006"/>
    <n v="2"/>
    <n v="0"/>
    <n v="35.155999999999999"/>
    <x v="8"/>
    <n v="2015"/>
    <s v="Profit"/>
  </r>
  <r>
    <n v="267"/>
    <s v="CA-2017-136826"/>
    <x v="114"/>
    <s v="Standard Class"/>
    <s v="CB-12535"/>
    <x v="118"/>
    <s v="Corporate"/>
    <s v="United States"/>
    <s v="Chapel Hill"/>
    <s v="North Carolina"/>
    <n v="27514"/>
    <x v="0"/>
    <s v="OFF-AR-10003602"/>
    <x v="1"/>
    <s v="Art"/>
    <n v="14.016"/>
    <n v="3"/>
    <n v="0.2"/>
    <n v="4.7304000000000004"/>
    <x v="9"/>
    <n v="2017"/>
    <s v="Profit"/>
  </r>
  <r>
    <n v="268"/>
    <s v="CA-2016-111010"/>
    <x v="115"/>
    <s v="Standard Class"/>
    <s v="PG-18895"/>
    <x v="38"/>
    <s v="Consumer"/>
    <s v="United States"/>
    <s v="Morristown"/>
    <s v="New Jersey"/>
    <n v="7960"/>
    <x v="3"/>
    <s v="OFF-FA-10003472"/>
    <x v="1"/>
    <s v="Fasteners"/>
    <n v="7.56"/>
    <n v="6"/>
    <n v="0"/>
    <n v="0.3024"/>
    <x v="7"/>
    <n v="2016"/>
    <s v="Profit"/>
  </r>
  <r>
    <n v="269"/>
    <s v="US-2017-145366"/>
    <x v="34"/>
    <s v="Standard Class"/>
    <s v="CA-12310"/>
    <x v="119"/>
    <s v="Corporate"/>
    <s v="United States"/>
    <s v="Cincinnati"/>
    <s v="Ohio"/>
    <n v="45231"/>
    <x v="3"/>
    <s v="OFF-ST-10004180"/>
    <x v="1"/>
    <s v="Storage"/>
    <n v="37.207999999999998"/>
    <n v="1"/>
    <n v="0.2"/>
    <n v="-7.4416000000000002"/>
    <x v="3"/>
    <n v="2017"/>
    <s v="Loss"/>
  </r>
  <r>
    <n v="270"/>
    <s v="US-2017-145366"/>
    <x v="34"/>
    <s v="Standard Class"/>
    <s v="CA-12310"/>
    <x v="119"/>
    <s v="Corporate"/>
    <s v="United States"/>
    <s v="Cincinnati"/>
    <s v="Ohio"/>
    <n v="45231"/>
    <x v="3"/>
    <s v="OFF-EN-10004386"/>
    <x v="1"/>
    <s v="Envelopes"/>
    <n v="57.576000000000001"/>
    <n v="3"/>
    <n v="0.2"/>
    <n v="21.591000000000001"/>
    <x v="3"/>
    <n v="2017"/>
    <s v="Profit"/>
  </r>
  <r>
    <n v="271"/>
    <s v="CA-2017-163979"/>
    <x v="116"/>
    <s v="Second Class"/>
    <s v="KH-16690"/>
    <x v="120"/>
    <s v="Corporate"/>
    <s v="United States"/>
    <s v="San Francisco"/>
    <s v="California"/>
    <n v="94110"/>
    <x v="1"/>
    <s v="OFF-ST-10003208"/>
    <x v="1"/>
    <s v="Storage"/>
    <n v="725.84"/>
    <n v="4"/>
    <n v="0"/>
    <n v="210.49359999999999"/>
    <x v="1"/>
    <n v="2017"/>
    <s v="Profit"/>
  </r>
  <r>
    <n v="272"/>
    <s v="CA-2015-155334"/>
    <x v="117"/>
    <s v="First Class"/>
    <s v="HA-14920"/>
    <x v="66"/>
    <s v="Consumer"/>
    <s v="United States"/>
    <s v="San Francisco"/>
    <s v="California"/>
    <n v="94109"/>
    <x v="1"/>
    <s v="TEC-AC-10003628"/>
    <x v="2"/>
    <s v="Accessories"/>
    <n v="209.93"/>
    <n v="7"/>
    <n v="0"/>
    <n v="92.369200000000006"/>
    <x v="6"/>
    <n v="2015"/>
    <s v="Profit"/>
  </r>
  <r>
    <n v="273"/>
    <s v="CA-2015-155334"/>
    <x v="117"/>
    <s v="First Class"/>
    <s v="HA-14920"/>
    <x v="66"/>
    <s v="Consumer"/>
    <s v="United States"/>
    <s v="San Francisco"/>
    <s v="California"/>
    <n v="94109"/>
    <x v="1"/>
    <s v="FUR-FU-10003274"/>
    <x v="0"/>
    <s v="Furnishings"/>
    <n v="5.28"/>
    <n v="3"/>
    <n v="0"/>
    <n v="2.3231999999999999"/>
    <x v="6"/>
    <n v="2015"/>
    <s v="Profit"/>
  </r>
  <r>
    <n v="274"/>
    <s v="CA-2015-155334"/>
    <x v="117"/>
    <s v="First Class"/>
    <s v="HA-14920"/>
    <x v="66"/>
    <s v="Consumer"/>
    <s v="United States"/>
    <s v="San Francisco"/>
    <s v="California"/>
    <n v="94109"/>
    <x v="1"/>
    <s v="OFF-BI-10002557"/>
    <x v="1"/>
    <s v="Binders"/>
    <n v="10.92"/>
    <n v="3"/>
    <n v="0.2"/>
    <n v="4.0949999999999998"/>
    <x v="6"/>
    <n v="2015"/>
    <s v="Profit"/>
  </r>
  <r>
    <n v="275"/>
    <s v="CA-2017-118136"/>
    <x v="117"/>
    <s v="First Class"/>
    <s v="BB-10990"/>
    <x v="121"/>
    <s v="Corporate"/>
    <s v="United States"/>
    <s v="Inglewood"/>
    <s v="California"/>
    <n v="90301"/>
    <x v="1"/>
    <s v="OFF-PA-10002615"/>
    <x v="1"/>
    <s v="Paper"/>
    <n v="8.82"/>
    <n v="2"/>
    <n v="0"/>
    <n v="4.0571999999999999"/>
    <x v="6"/>
    <n v="2015"/>
    <s v="Profit"/>
  </r>
  <r>
    <n v="276"/>
    <s v="CA-2017-118136"/>
    <x v="117"/>
    <s v="First Class"/>
    <s v="BB-10990"/>
    <x v="121"/>
    <s v="Corporate"/>
    <s v="United States"/>
    <s v="Inglewood"/>
    <s v="California"/>
    <n v="90301"/>
    <x v="1"/>
    <s v="OFF-AR-10001427"/>
    <x v="1"/>
    <s v="Art"/>
    <n v="5.98"/>
    <n v="1"/>
    <n v="0"/>
    <n v="1.5548"/>
    <x v="6"/>
    <n v="2015"/>
    <s v="Profit"/>
  </r>
  <r>
    <n v="277"/>
    <s v="CA-2017-132976"/>
    <x v="118"/>
    <s v="Standard Class"/>
    <s v="AG-10495"/>
    <x v="122"/>
    <s v="Corporate"/>
    <s v="United States"/>
    <s v="Philadelphia"/>
    <s v="Pennsylvania"/>
    <n v="19140"/>
    <x v="3"/>
    <s v="OFF-PA-10000673"/>
    <x v="1"/>
    <s v="Paper"/>
    <n v="11.648"/>
    <n v="2"/>
    <n v="0.2"/>
    <n v="4.0768000000000004"/>
    <x v="8"/>
    <n v="2017"/>
    <s v="Profit"/>
  </r>
  <r>
    <n v="278"/>
    <s v="CA-2017-132976"/>
    <x v="118"/>
    <s v="Standard Class"/>
    <s v="AG-10495"/>
    <x v="122"/>
    <s v="Corporate"/>
    <s v="United States"/>
    <s v="Philadelphia"/>
    <s v="Pennsylvania"/>
    <n v="19140"/>
    <x v="3"/>
    <s v="OFF-PA-10004470"/>
    <x v="1"/>
    <s v="Paper"/>
    <n v="18.175999999999998"/>
    <n v="4"/>
    <n v="0.2"/>
    <n v="5.9071999999999996"/>
    <x v="8"/>
    <n v="2017"/>
    <s v="Profit"/>
  </r>
  <r>
    <n v="279"/>
    <s v="CA-2017-132976"/>
    <x v="118"/>
    <s v="Standard Class"/>
    <s v="AG-10495"/>
    <x v="122"/>
    <s v="Corporate"/>
    <s v="United States"/>
    <s v="Philadelphia"/>
    <s v="Pennsylvania"/>
    <n v="19140"/>
    <x v="3"/>
    <s v="OFF-ST-10000876"/>
    <x v="1"/>
    <s v="Storage"/>
    <n v="59.712000000000003"/>
    <n v="6"/>
    <n v="0.2"/>
    <n v="5.9711999999999996"/>
    <x v="8"/>
    <n v="2017"/>
    <s v="Profit"/>
  </r>
  <r>
    <n v="280"/>
    <s v="CA-2017-132976"/>
    <x v="118"/>
    <s v="Standard Class"/>
    <s v="AG-10495"/>
    <x v="122"/>
    <s v="Corporate"/>
    <s v="United States"/>
    <s v="Philadelphia"/>
    <s v="Pennsylvania"/>
    <n v="19140"/>
    <x v="3"/>
    <s v="OFF-LA-10002043"/>
    <x v="1"/>
    <s v="Labels"/>
    <n v="24.84"/>
    <n v="3"/>
    <n v="0.2"/>
    <n v="8.6940000000000008"/>
    <x v="8"/>
    <n v="2017"/>
    <s v="Profit"/>
  </r>
  <r>
    <n v="281"/>
    <s v="US-2015-161991"/>
    <x v="119"/>
    <s v="Second Class"/>
    <s v="SC-20725"/>
    <x v="56"/>
    <s v="Consumer"/>
    <s v="United States"/>
    <s v="Houston"/>
    <s v="Texas"/>
    <n v="77070"/>
    <x v="2"/>
    <s v="OFF-BI-10004967"/>
    <x v="1"/>
    <s v="Binders"/>
    <n v="2.08"/>
    <n v="5"/>
    <n v="0.8"/>
    <n v="-3.4319999999999999"/>
    <x v="3"/>
    <n v="2015"/>
    <s v="Loss"/>
  </r>
  <r>
    <n v="282"/>
    <s v="US-2015-161991"/>
    <x v="119"/>
    <s v="Second Class"/>
    <s v="SC-20725"/>
    <x v="56"/>
    <s v="Consumer"/>
    <s v="United States"/>
    <s v="Houston"/>
    <s v="Texas"/>
    <n v="77070"/>
    <x v="2"/>
    <s v="TEC-PH-10001760"/>
    <x v="2"/>
    <s v="Phones"/>
    <n v="1114.4000000000001"/>
    <n v="7"/>
    <n v="0.2"/>
    <n v="376.11"/>
    <x v="3"/>
    <n v="2015"/>
    <s v="Profit"/>
  </r>
  <r>
    <n v="283"/>
    <s v="CA-2015-130890"/>
    <x v="120"/>
    <s v="Standard Class"/>
    <s v="JO-15280"/>
    <x v="123"/>
    <s v="Consumer"/>
    <s v="United States"/>
    <s v="Los Angeles"/>
    <s v="California"/>
    <n v="90004"/>
    <x v="1"/>
    <s v="FUR-TA-10002903"/>
    <x v="0"/>
    <s v="Tables"/>
    <n v="1038.8399999999999"/>
    <n v="5"/>
    <n v="0.2"/>
    <n v="51.942"/>
    <x v="11"/>
    <n v="2015"/>
    <s v="Profit"/>
  </r>
  <r>
    <n v="284"/>
    <s v="CA-2015-130883"/>
    <x v="119"/>
    <s v="Standard Class"/>
    <s v="TB-21520"/>
    <x v="14"/>
    <s v="Consumer"/>
    <s v="United States"/>
    <s v="Portland"/>
    <s v="Oregon"/>
    <n v="97206"/>
    <x v="1"/>
    <s v="OFF-PA-10000474"/>
    <x v="1"/>
    <s v="Paper"/>
    <n v="141.76"/>
    <n v="5"/>
    <n v="0.2"/>
    <n v="47.844000000000001"/>
    <x v="3"/>
    <n v="2015"/>
    <s v="Profit"/>
  </r>
  <r>
    <n v="285"/>
    <s v="CA-2015-130883"/>
    <x v="119"/>
    <s v="Standard Class"/>
    <s v="TB-21520"/>
    <x v="14"/>
    <s v="Consumer"/>
    <s v="United States"/>
    <s v="Portland"/>
    <s v="Oregon"/>
    <n v="97206"/>
    <x v="1"/>
    <s v="TEC-AC-10001956"/>
    <x v="2"/>
    <s v="Accessories"/>
    <n v="239.8"/>
    <n v="5"/>
    <n v="0.2"/>
    <n v="47.96"/>
    <x v="3"/>
    <n v="2015"/>
    <s v="Profit"/>
  </r>
  <r>
    <n v="286"/>
    <s v="CA-2015-130883"/>
    <x v="119"/>
    <s v="Standard Class"/>
    <s v="TB-21520"/>
    <x v="14"/>
    <s v="Consumer"/>
    <s v="United States"/>
    <s v="Portland"/>
    <s v="Oregon"/>
    <n v="97206"/>
    <x v="1"/>
    <s v="OFF-PA-10004100"/>
    <x v="1"/>
    <s v="Paper"/>
    <n v="31.103999999999999"/>
    <n v="6"/>
    <n v="0.2"/>
    <n v="10.8864"/>
    <x v="3"/>
    <n v="2015"/>
    <s v="Profit"/>
  </r>
  <r>
    <n v="287"/>
    <s v="CA-2016-112697"/>
    <x v="121"/>
    <s v="Second Class"/>
    <s v="AH-10195"/>
    <x v="124"/>
    <s v="Corporate"/>
    <s v="United States"/>
    <s v="Tamarac"/>
    <s v="Florida"/>
    <n v="33319"/>
    <x v="0"/>
    <s v="OFF-BI-10000778"/>
    <x v="1"/>
    <s v="Binders"/>
    <n v="254.05799999999999"/>
    <n v="7"/>
    <n v="0.7"/>
    <n v="-169.37200000000001"/>
    <x v="1"/>
    <n v="2016"/>
    <s v="Loss"/>
  </r>
  <r>
    <n v="288"/>
    <s v="CA-2016-112697"/>
    <x v="121"/>
    <s v="Second Class"/>
    <s v="AH-10195"/>
    <x v="124"/>
    <s v="Corporate"/>
    <s v="United States"/>
    <s v="Tamarac"/>
    <s v="Florida"/>
    <n v="33319"/>
    <x v="0"/>
    <s v="OFF-AP-10002684"/>
    <x v="1"/>
    <s v="Appliances"/>
    <n v="194.52799999999999"/>
    <n v="2"/>
    <n v="0.2"/>
    <n v="24.315999999999999"/>
    <x v="1"/>
    <n v="2016"/>
    <s v="Profit"/>
  </r>
  <r>
    <n v="289"/>
    <s v="CA-2016-112697"/>
    <x v="121"/>
    <s v="Second Class"/>
    <s v="AH-10195"/>
    <x v="124"/>
    <s v="Corporate"/>
    <s v="United States"/>
    <s v="Tamarac"/>
    <s v="Florida"/>
    <n v="33319"/>
    <x v="0"/>
    <s v="OFF-SU-10000646"/>
    <x v="1"/>
    <s v="Supplies"/>
    <n v="961.48"/>
    <n v="5"/>
    <n v="0.2"/>
    <n v="-204.31450000000001"/>
    <x v="1"/>
    <n v="2016"/>
    <s v="Loss"/>
  </r>
  <r>
    <n v="290"/>
    <s v="CA-2016-110772"/>
    <x v="73"/>
    <s v="Second Class"/>
    <s v="NZ-18565"/>
    <x v="125"/>
    <s v="Home Office"/>
    <s v="United States"/>
    <s v="Columbus"/>
    <s v="Ohio"/>
    <n v="43229"/>
    <x v="3"/>
    <s v="OFF-FA-10002983"/>
    <x v="1"/>
    <s v="Fasteners"/>
    <n v="19.096"/>
    <n v="7"/>
    <n v="0.2"/>
    <n v="6.6836000000000002"/>
    <x v="2"/>
    <n v="2016"/>
    <s v="Profit"/>
  </r>
  <r>
    <n v="291"/>
    <s v="CA-2016-110772"/>
    <x v="73"/>
    <s v="Second Class"/>
    <s v="NZ-18565"/>
    <x v="125"/>
    <s v="Home Office"/>
    <s v="United States"/>
    <s v="Columbus"/>
    <s v="Ohio"/>
    <n v="43229"/>
    <x v="3"/>
    <s v="OFF-LA-10004689"/>
    <x v="1"/>
    <s v="Labels"/>
    <n v="18.495999999999999"/>
    <n v="8"/>
    <n v="0.2"/>
    <n v="6.2423999999999999"/>
    <x v="2"/>
    <n v="2016"/>
    <s v="Profit"/>
  </r>
  <r>
    <n v="292"/>
    <s v="CA-2016-110772"/>
    <x v="73"/>
    <s v="Second Class"/>
    <s v="NZ-18565"/>
    <x v="125"/>
    <s v="Home Office"/>
    <s v="United States"/>
    <s v="Columbus"/>
    <s v="Ohio"/>
    <n v="43229"/>
    <x v="3"/>
    <s v="TEC-AC-10002001"/>
    <x v="2"/>
    <s v="Accessories"/>
    <n v="255.98400000000001"/>
    <n v="2"/>
    <n v="0.2"/>
    <n v="54.396599999999999"/>
    <x v="2"/>
    <n v="2016"/>
    <s v="Profit"/>
  </r>
  <r>
    <n v="293"/>
    <s v="CA-2016-110772"/>
    <x v="73"/>
    <s v="Second Class"/>
    <s v="NZ-18565"/>
    <x v="125"/>
    <s v="Home Office"/>
    <s v="United States"/>
    <s v="Columbus"/>
    <s v="Ohio"/>
    <n v="43229"/>
    <x v="3"/>
    <s v="FUR-BO-10004709"/>
    <x v="0"/>
    <s v="Bookcases"/>
    <n v="86.97"/>
    <n v="3"/>
    <n v="0.5"/>
    <n v="-48.703200000000002"/>
    <x v="2"/>
    <n v="2016"/>
    <s v="Loss"/>
  </r>
  <r>
    <n v="294"/>
    <s v="CA-2014-111451"/>
    <x v="58"/>
    <s v="First Class"/>
    <s v="KL-16555"/>
    <x v="126"/>
    <s v="Corporate"/>
    <s v="United States"/>
    <s v="Colorado Springs"/>
    <s v="Colorado"/>
    <n v="80906"/>
    <x v="1"/>
    <s v="FUR-FU-10004091"/>
    <x v="0"/>
    <s v="Furnishings"/>
    <n v="300.416"/>
    <n v="8"/>
    <n v="0.2"/>
    <n v="78.859200000000001"/>
    <x v="1"/>
    <n v="2014"/>
    <s v="Profit"/>
  </r>
  <r>
    <n v="295"/>
    <s v="CA-2014-111451"/>
    <x v="58"/>
    <s v="First Class"/>
    <s v="KL-16555"/>
    <x v="126"/>
    <s v="Corporate"/>
    <s v="United States"/>
    <s v="Colorado Springs"/>
    <s v="Colorado"/>
    <n v="80906"/>
    <x v="1"/>
    <s v="FUR-CH-10001891"/>
    <x v="0"/>
    <s v="Chairs"/>
    <n v="230.352"/>
    <n v="3"/>
    <n v="0.2"/>
    <n v="20.155799999999999"/>
    <x v="1"/>
    <n v="2014"/>
    <s v="Profit"/>
  </r>
  <r>
    <n v="296"/>
    <s v="CA-2014-111451"/>
    <x v="58"/>
    <s v="First Class"/>
    <s v="KL-16555"/>
    <x v="126"/>
    <s v="Corporate"/>
    <s v="United States"/>
    <s v="Colorado Springs"/>
    <s v="Colorado"/>
    <n v="80906"/>
    <x v="1"/>
    <s v="FUR-FU-10002918"/>
    <x v="0"/>
    <s v="Furnishings"/>
    <n v="218.352"/>
    <n v="3"/>
    <n v="0.2"/>
    <n v="-24.564599999999999"/>
    <x v="1"/>
    <n v="2014"/>
    <s v="Loss"/>
  </r>
  <r>
    <n v="297"/>
    <s v="CA-2014-111451"/>
    <x v="58"/>
    <s v="First Class"/>
    <s v="KL-16555"/>
    <x v="126"/>
    <s v="Corporate"/>
    <s v="United States"/>
    <s v="Colorado Springs"/>
    <s v="Colorado"/>
    <n v="80906"/>
    <x v="1"/>
    <s v="OFF-BI-10004593"/>
    <x v="1"/>
    <s v="Binders"/>
    <n v="78.599999999999994"/>
    <n v="5"/>
    <n v="0.7"/>
    <n v="-62.88"/>
    <x v="1"/>
    <n v="2014"/>
    <s v="Loss"/>
  </r>
  <r>
    <n v="298"/>
    <s v="CA-2014-111451"/>
    <x v="58"/>
    <s v="First Class"/>
    <s v="KL-16555"/>
    <x v="126"/>
    <s v="Corporate"/>
    <s v="United States"/>
    <s v="Colorado Springs"/>
    <s v="Colorado"/>
    <n v="80906"/>
    <x v="1"/>
    <s v="OFF-FA-10004854"/>
    <x v="1"/>
    <s v="Fasteners"/>
    <n v="27.552"/>
    <n v="3"/>
    <n v="0.2"/>
    <n v="9.2988"/>
    <x v="1"/>
    <n v="2014"/>
    <s v="Profit"/>
  </r>
  <r>
    <n v="299"/>
    <s v="CA-2016-142545"/>
    <x v="99"/>
    <s v="Standard Class"/>
    <s v="JD-15895"/>
    <x v="63"/>
    <s v="Corporate"/>
    <s v="United States"/>
    <s v="Belleville"/>
    <s v="New Jersey"/>
    <n v="7109"/>
    <x v="3"/>
    <s v="OFF-PA-10002105"/>
    <x v="1"/>
    <s v="Paper"/>
    <n v="32.4"/>
    <n v="5"/>
    <n v="0"/>
    <n v="15.552"/>
    <x v="8"/>
    <n v="2016"/>
    <s v="Profit"/>
  </r>
  <r>
    <n v="300"/>
    <s v="CA-2016-142545"/>
    <x v="99"/>
    <s v="Standard Class"/>
    <s v="JD-15895"/>
    <x v="63"/>
    <s v="Corporate"/>
    <s v="United States"/>
    <s v="Belleville"/>
    <s v="New Jersey"/>
    <n v="7109"/>
    <x v="3"/>
    <s v="OFF-ST-10002756"/>
    <x v="1"/>
    <s v="Storage"/>
    <n v="1082.48"/>
    <n v="8"/>
    <n v="0"/>
    <n v="10.8248"/>
    <x v="8"/>
    <n v="2016"/>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DCC3C-AFF4-40FC-B77F-1FF1BC3DF3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D8" firstHeaderRow="1" firstDataRow="1" firstDataCol="1"/>
  <pivotFields count="22">
    <pivotField showAll="0"/>
    <pivotField showAll="0"/>
    <pivotField numFmtId="165"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numFmtId="164" showAll="0"/>
    <pivotField showAll="0"/>
    <pivotField numFmtId="10" showAll="0"/>
    <pivotField numFmtId="164" showAll="0"/>
    <pivotField showAll="0"/>
    <pivotField showAll="0"/>
    <pivotField showAll="0"/>
  </pivotFields>
  <rowFields count="1">
    <field x="11"/>
  </rowFields>
  <rowItems count="5">
    <i>
      <x/>
    </i>
    <i>
      <x v="1"/>
    </i>
    <i>
      <x v="2"/>
    </i>
    <i>
      <x v="3"/>
    </i>
    <i t="grand">
      <x/>
    </i>
  </rowItems>
  <colItems count="1">
    <i/>
  </colItems>
  <dataFields count="1">
    <dataField name="Sum of Sales" fld="15" baseField="0" baseItem="0" numFmtId="164"/>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CD935-9BFB-4812-9E90-69C945CDA7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3:N7" firstHeaderRow="0" firstDataRow="1" firstDataCol="1"/>
  <pivotFields count="22">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164" showAll="0"/>
    <pivotField showAll="0"/>
    <pivotField numFmtId="10" showAll="0"/>
    <pivotField dataField="1" numFmtId="164" showAll="0"/>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Sales" fld="15" baseField="0" baseItem="0" numFmtId="164"/>
    <dataField name="Sum of Profit" fld="18" baseField="0" baseItem="0" numFmtId="164"/>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BB14D6-69AD-4CB8-A9E3-3A452DB601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7" firstHeaderRow="1" firstDataRow="1" firstDataCol="1"/>
  <pivotFields count="22">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164" showAll="0"/>
    <pivotField showAll="0"/>
    <pivotField numFmtId="10" showAll="0"/>
    <pivotField numFmtId="164" showAll="0"/>
    <pivotField showAll="0"/>
    <pivotField showAll="0"/>
    <pivotField showAll="0"/>
  </pivotFields>
  <rowFields count="1">
    <field x="13"/>
  </rowFields>
  <rowItems count="4">
    <i>
      <x/>
    </i>
    <i>
      <x v="1"/>
    </i>
    <i>
      <x v="2"/>
    </i>
    <i t="grand">
      <x/>
    </i>
  </rowItems>
  <colItems count="1">
    <i/>
  </colItems>
  <dataFields count="1">
    <dataField name="Sum of Sales" fld="15" baseField="0" baseItem="0" numFmtId="164"/>
  </dataFields>
  <chartFormats count="8">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D83B2-D1D8-46A3-A0A9-8C12C8B8B5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1" firstHeaderRow="1" firstDataRow="1" firstDataCol="1"/>
  <pivotFields count="22">
    <pivotField showAll="0"/>
    <pivotField showAll="0"/>
    <pivotField numFmtId="165" showAll="0"/>
    <pivotField showAll="0"/>
    <pivotField showAll="0"/>
    <pivotField axis="axisRow" showAll="0" sortType="descending">
      <items count="128">
        <item x="57"/>
        <item x="124"/>
        <item x="117"/>
        <item x="8"/>
        <item x="87"/>
        <item x="4"/>
        <item x="122"/>
        <item x="121"/>
        <item x="78"/>
        <item x="29"/>
        <item x="3"/>
        <item x="94"/>
        <item x="90"/>
        <item x="79"/>
        <item x="119"/>
        <item x="37"/>
        <item x="0"/>
        <item x="118"/>
        <item x="52"/>
        <item x="113"/>
        <item x="51"/>
        <item x="112"/>
        <item x="24"/>
        <item x="1"/>
        <item x="72"/>
        <item x="54"/>
        <item x="106"/>
        <item x="83"/>
        <item x="103"/>
        <item x="111"/>
        <item x="108"/>
        <item x="61"/>
        <item x="114"/>
        <item x="35"/>
        <item x="45"/>
        <item x="12"/>
        <item x="13"/>
        <item x="75"/>
        <item x="105"/>
        <item x="20"/>
        <item x="86"/>
        <item x="92"/>
        <item x="39"/>
        <item x="47"/>
        <item x="16"/>
        <item x="55"/>
        <item x="6"/>
        <item x="96"/>
        <item x="66"/>
        <item x="31"/>
        <item x="5"/>
        <item x="49"/>
        <item x="25"/>
        <item x="123"/>
        <item x="80"/>
        <item x="82"/>
        <item x="40"/>
        <item x="32"/>
        <item x="63"/>
        <item x="101"/>
        <item x="102"/>
        <item x="98"/>
        <item x="36"/>
        <item x="68"/>
        <item x="30"/>
        <item x="41"/>
        <item x="44"/>
        <item x="110"/>
        <item x="126"/>
        <item x="10"/>
        <item x="33"/>
        <item x="107"/>
        <item x="120"/>
        <item x="27"/>
        <item x="97"/>
        <item x="48"/>
        <item x="62"/>
        <item x="23"/>
        <item x="18"/>
        <item x="60"/>
        <item x="95"/>
        <item x="109"/>
        <item x="93"/>
        <item x="88"/>
        <item x="89"/>
        <item x="15"/>
        <item x="67"/>
        <item x="77"/>
        <item x="99"/>
        <item x="71"/>
        <item x="125"/>
        <item x="73"/>
        <item x="21"/>
        <item x="43"/>
        <item x="22"/>
        <item x="38"/>
        <item x="28"/>
        <item x="50"/>
        <item x="7"/>
        <item x="58"/>
        <item x="46"/>
        <item x="84"/>
        <item x="42"/>
        <item x="116"/>
        <item x="19"/>
        <item x="76"/>
        <item x="53"/>
        <item x="64"/>
        <item x="85"/>
        <item x="11"/>
        <item x="65"/>
        <item x="115"/>
        <item x="2"/>
        <item x="81"/>
        <item x="70"/>
        <item x="17"/>
        <item x="56"/>
        <item x="34"/>
        <item x="69"/>
        <item x="26"/>
        <item x="74"/>
        <item x="14"/>
        <item x="59"/>
        <item x="104"/>
        <item x="91"/>
        <item x="10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4" showAll="0"/>
    <pivotField showAll="0"/>
    <pivotField numFmtId="10" showAll="0"/>
    <pivotField numFmtId="164" showAll="0"/>
    <pivotField showAll="0"/>
    <pivotField showAll="0"/>
    <pivotField showAll="0"/>
  </pivotFields>
  <rowFields count="1">
    <field x="5"/>
  </rowFields>
  <rowItems count="128">
    <i>
      <x v="8"/>
    </i>
    <i>
      <x v="111"/>
    </i>
    <i>
      <x v="121"/>
    </i>
    <i>
      <x v="30"/>
    </i>
    <i>
      <x v="10"/>
    </i>
    <i>
      <x v="67"/>
    </i>
    <i>
      <x v="63"/>
    </i>
    <i>
      <x v="15"/>
    </i>
    <i>
      <x v="125"/>
    </i>
    <i>
      <x v="83"/>
    </i>
    <i>
      <x v="116"/>
    </i>
    <i>
      <x v="57"/>
    </i>
    <i>
      <x v="1"/>
    </i>
    <i>
      <x v="44"/>
    </i>
    <i>
      <x v="9"/>
    </i>
    <i>
      <x v="115"/>
    </i>
    <i>
      <x v="58"/>
    </i>
    <i>
      <x v="52"/>
    </i>
    <i>
      <x v="35"/>
    </i>
    <i>
      <x v="53"/>
    </i>
    <i>
      <x v="16"/>
    </i>
    <i>
      <x v="112"/>
    </i>
    <i>
      <x v="91"/>
    </i>
    <i>
      <x v="48"/>
    </i>
    <i>
      <x v="68"/>
    </i>
    <i>
      <x v="110"/>
    </i>
    <i>
      <x v="21"/>
    </i>
    <i>
      <x v="25"/>
    </i>
    <i>
      <x v="72"/>
    </i>
    <i>
      <x v="101"/>
    </i>
    <i>
      <x v="71"/>
    </i>
    <i>
      <x v="98"/>
    </i>
    <i>
      <x v="119"/>
    </i>
    <i>
      <x v="28"/>
    </i>
    <i>
      <x v="60"/>
    </i>
    <i>
      <x v="99"/>
    </i>
    <i>
      <x/>
    </i>
    <i>
      <x v="123"/>
    </i>
    <i>
      <x v="94"/>
    </i>
    <i>
      <x v="13"/>
    </i>
    <i>
      <x v="24"/>
    </i>
    <i>
      <x v="74"/>
    </i>
    <i>
      <x v="29"/>
    </i>
    <i>
      <x v="27"/>
    </i>
    <i>
      <x v="50"/>
    </i>
    <i>
      <x v="59"/>
    </i>
    <i>
      <x v="90"/>
    </i>
    <i>
      <x v="75"/>
    </i>
    <i>
      <x v="61"/>
    </i>
    <i>
      <x v="118"/>
    </i>
    <i>
      <x v="97"/>
    </i>
    <i>
      <x v="103"/>
    </i>
    <i>
      <x v="81"/>
    </i>
    <i>
      <x v="79"/>
    </i>
    <i>
      <x v="73"/>
    </i>
    <i>
      <x v="19"/>
    </i>
    <i>
      <x v="76"/>
    </i>
    <i>
      <x v="122"/>
    </i>
    <i>
      <x v="114"/>
    </i>
    <i>
      <x v="126"/>
    </i>
    <i>
      <x v="117"/>
    </i>
    <i>
      <x v="11"/>
    </i>
    <i>
      <x v="96"/>
    </i>
    <i>
      <x v="22"/>
    </i>
    <i>
      <x v="62"/>
    </i>
    <i>
      <x v="106"/>
    </i>
    <i>
      <x v="40"/>
    </i>
    <i>
      <x v="107"/>
    </i>
    <i>
      <x v="100"/>
    </i>
    <i>
      <x v="31"/>
    </i>
    <i>
      <x v="42"/>
    </i>
    <i>
      <x v="45"/>
    </i>
    <i>
      <x v="78"/>
    </i>
    <i>
      <x v="6"/>
    </i>
    <i>
      <x v="51"/>
    </i>
    <i>
      <x v="18"/>
    </i>
    <i>
      <x v="36"/>
    </i>
    <i>
      <x v="56"/>
    </i>
    <i>
      <x v="65"/>
    </i>
    <i>
      <x v="113"/>
    </i>
    <i>
      <x v="93"/>
    </i>
    <i>
      <x v="39"/>
    </i>
    <i>
      <x v="14"/>
    </i>
    <i>
      <x v="86"/>
    </i>
    <i>
      <x v="2"/>
    </i>
    <i>
      <x v="69"/>
    </i>
    <i>
      <x v="34"/>
    </i>
    <i>
      <x v="104"/>
    </i>
    <i>
      <x v="64"/>
    </i>
    <i>
      <x v="54"/>
    </i>
    <i>
      <x v="109"/>
    </i>
    <i>
      <x v="46"/>
    </i>
    <i>
      <x v="77"/>
    </i>
    <i>
      <x v="80"/>
    </i>
    <i>
      <x v="92"/>
    </i>
    <i>
      <x v="4"/>
    </i>
    <i>
      <x v="3"/>
    </i>
    <i>
      <x v="37"/>
    </i>
    <i>
      <x v="66"/>
    </i>
    <i>
      <x v="124"/>
    </i>
    <i>
      <x v="20"/>
    </i>
    <i>
      <x v="70"/>
    </i>
    <i>
      <x v="33"/>
    </i>
    <i>
      <x v="47"/>
    </i>
    <i>
      <x v="95"/>
    </i>
    <i>
      <x v="85"/>
    </i>
    <i>
      <x v="105"/>
    </i>
    <i>
      <x v="87"/>
    </i>
    <i>
      <x v="43"/>
    </i>
    <i>
      <x v="82"/>
    </i>
    <i>
      <x v="88"/>
    </i>
    <i>
      <x v="41"/>
    </i>
    <i>
      <x v="38"/>
    </i>
    <i>
      <x v="5"/>
    </i>
    <i>
      <x v="7"/>
    </i>
    <i>
      <x v="23"/>
    </i>
    <i>
      <x v="84"/>
    </i>
    <i>
      <x v="17"/>
    </i>
    <i>
      <x v="12"/>
    </i>
    <i>
      <x v="26"/>
    </i>
    <i>
      <x v="108"/>
    </i>
    <i>
      <x v="89"/>
    </i>
    <i>
      <x v="120"/>
    </i>
    <i>
      <x v="102"/>
    </i>
    <i>
      <x v="49"/>
    </i>
    <i>
      <x v="55"/>
    </i>
    <i>
      <x v="32"/>
    </i>
    <i t="grand">
      <x/>
    </i>
  </rowItems>
  <colItems count="1">
    <i/>
  </colItems>
  <dataFields count="1">
    <dataField name="Sum of Sales" fld="15" baseField="0" baseItem="0" numFmtId="164"/>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52AF03-4552-403C-B55A-1F6301C1D34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B16" firstHeaderRow="1" firstDataRow="1" firstDataCol="1"/>
  <pivotFields count="22">
    <pivotField showAll="0"/>
    <pivotField showAll="0"/>
    <pivotField numFmtId="165" showAll="0">
      <items count="123">
        <item x="72"/>
        <item x="106"/>
        <item x="93"/>
        <item x="90"/>
        <item x="79"/>
        <item x="29"/>
        <item x="8"/>
        <item x="78"/>
        <item x="55"/>
        <item x="86"/>
        <item x="9"/>
        <item x="3"/>
        <item x="103"/>
        <item x="80"/>
        <item x="111"/>
        <item x="59"/>
        <item x="22"/>
        <item x="68"/>
        <item x="7"/>
        <item x="84"/>
        <item x="35"/>
        <item x="36"/>
        <item x="58"/>
        <item x="43"/>
        <item x="98"/>
        <item x="56"/>
        <item x="120"/>
        <item x="102"/>
        <item x="37"/>
        <item x="24"/>
        <item x="33"/>
        <item x="28"/>
        <item x="57"/>
        <item x="71"/>
        <item x="70"/>
        <item x="67"/>
        <item x="117"/>
        <item x="97"/>
        <item x="101"/>
        <item x="14"/>
        <item x="12"/>
        <item x="119"/>
        <item x="113"/>
        <item x="52"/>
        <item x="89"/>
        <item x="2"/>
        <item x="50"/>
        <item x="82"/>
        <item x="6"/>
        <item x="27"/>
        <item x="109"/>
        <item x="88"/>
        <item x="83"/>
        <item x="100"/>
        <item x="17"/>
        <item x="75"/>
        <item x="49"/>
        <item x="13"/>
        <item x="115"/>
        <item x="54"/>
        <item x="69"/>
        <item x="30"/>
        <item x="41"/>
        <item x="64"/>
        <item x="5"/>
        <item x="112"/>
        <item x="47"/>
        <item x="61"/>
        <item x="26"/>
        <item x="23"/>
        <item x="77"/>
        <item x="87"/>
        <item x="19"/>
        <item x="0"/>
        <item x="16"/>
        <item x="48"/>
        <item x="10"/>
        <item x="42"/>
        <item x="31"/>
        <item x="107"/>
        <item x="63"/>
        <item x="99"/>
        <item x="21"/>
        <item x="74"/>
        <item x="108"/>
        <item x="25"/>
        <item x="76"/>
        <item x="73"/>
        <item x="85"/>
        <item x="1"/>
        <item x="121"/>
        <item x="96"/>
        <item x="62"/>
        <item x="95"/>
        <item x="4"/>
        <item x="81"/>
        <item x="60"/>
        <item x="39"/>
        <item x="91"/>
        <item x="44"/>
        <item x="114"/>
        <item x="46"/>
        <item x="92"/>
        <item x="104"/>
        <item x="11"/>
        <item x="110"/>
        <item x="45"/>
        <item x="34"/>
        <item x="32"/>
        <item x="65"/>
        <item x="20"/>
        <item x="18"/>
        <item x="118"/>
        <item x="15"/>
        <item x="40"/>
        <item x="38"/>
        <item x="51"/>
        <item x="105"/>
        <item x="94"/>
        <item x="66"/>
        <item x="53"/>
        <item x="1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10" showAll="0"/>
    <pivotField numFmtId="164" showAll="0"/>
    <pivotField axis="axisRow" showAll="0" sortType="ascending">
      <items count="13">
        <item x="7"/>
        <item x="11"/>
        <item x="10"/>
        <item x="4"/>
        <item x="5"/>
        <item x="9"/>
        <item x="6"/>
        <item x="0"/>
        <item x="3"/>
        <item x="8"/>
        <item x="2"/>
        <item x="1"/>
        <item t="default"/>
      </items>
    </pivotField>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4"/>
  </dataField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854654-DDDF-4BC0-B3F2-6AB64C7EADEA}" sourceName="Region">
  <pivotTables>
    <pivotTable tabId="2" name="PivotTable1"/>
  </pivotTables>
  <data>
    <tabular pivotCacheId="101097221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23EB2E4-A38C-4B57-94FA-D68B111124F2}" cache="Slicer_Region" caption="Region"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8AF2EE-58A8-4216-928A-B3D2D1D003D0}" cache="Slicer_Region" caption="Regi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612C6-7A0F-46F4-9BD5-BD5FA3B1698B}" name="SalesData" displayName="SalesData" ref="A1:X301" totalsRowShown="0" headerRowDxfId="51" dataDxfId="50">
  <autoFilter ref="A1:X301" xr:uid="{38E612C6-7A0F-46F4-9BD5-BD5FA3B169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D320D15-B5E7-42F3-9D54-BF98B7C58A38}" name="Row ID" dataDxfId="49"/>
    <tableColumn id="2" xr3:uid="{64A8DFBE-0693-444C-9F41-A3322F197D43}" name="Order ID" dataDxfId="48"/>
    <tableColumn id="3" xr3:uid="{0540F520-44D0-4C57-B55C-D1DD357426A5}" name="Order Date" dataDxfId="47"/>
    <tableColumn id="4" xr3:uid="{42585479-117F-415F-9155-05499EAF005A}" name="Ship Mode" dataDxfId="46"/>
    <tableColumn id="5" xr3:uid="{043DE1D7-A158-4BB0-B580-894EBC742509}" name="Customer ID" dataDxfId="45"/>
    <tableColumn id="6" xr3:uid="{D884002B-758F-4C4D-9050-F3042215AA5E}" name="Customer Name" dataDxfId="44"/>
    <tableColumn id="7" xr3:uid="{89492E57-F8D9-49E9-82DA-2A83F81AC9F3}" name="Segment" dataDxfId="43"/>
    <tableColumn id="8" xr3:uid="{15BACAA3-C704-4EE8-9273-1DC8579C6D47}" name="Country" dataDxfId="42"/>
    <tableColumn id="9" xr3:uid="{9BAE1E28-292E-477E-94EA-702F81067658}" name="City" dataDxfId="41"/>
    <tableColumn id="10" xr3:uid="{73A8761E-546F-4D89-978C-7BA6862188B8}" name="State" dataDxfId="40"/>
    <tableColumn id="11" xr3:uid="{816A1DF6-C798-4660-8A92-9A4A0EEB29A6}" name="Postal Code" dataDxfId="39"/>
    <tableColumn id="12" xr3:uid="{92F4AF71-B5E2-4CCE-8363-D2C854F1D6F6}" name="Region" dataDxfId="38"/>
    <tableColumn id="13" xr3:uid="{446DE080-F09A-42F0-9811-9C0F88A7E677}" name="Product ID" dataDxfId="37"/>
    <tableColumn id="14" xr3:uid="{D5DF7D41-7981-4827-BD85-3FED8ADB6077}" name="Category" dataDxfId="36"/>
    <tableColumn id="15" xr3:uid="{F20A325C-1229-45EC-9ACA-66CA04B40B6F}" name="Sub-Category" dataDxfId="35"/>
    <tableColumn id="16" xr3:uid="{373A51DF-D650-427D-9CAA-81D90AB5F22B}" name="Sales" dataDxfId="34"/>
    <tableColumn id="17" xr3:uid="{9B4AA115-3D97-4254-A468-99F97112CF6E}" name="Quantity" dataDxfId="33"/>
    <tableColumn id="18" xr3:uid="{A3AD66AA-A461-4E3D-9346-F896324CC784}" name="Discount" dataDxfId="32"/>
    <tableColumn id="19" xr3:uid="{BD6B35AA-7898-4A02-A7AC-C92B9386A757}" name="Profit" dataDxfId="31"/>
    <tableColumn id="20" xr3:uid="{B27FC94D-A05F-4EE3-B6D1-9FB3AEFAF17F}" name="Month(Order Date)" dataDxfId="30">
      <calculatedColumnFormula>TEXT(SalesData[[#This Row],[Order Date]],"mmm")</calculatedColumnFormula>
    </tableColumn>
    <tableColumn id="21" xr3:uid="{9E788172-E7E4-47BD-8457-D94DEF38D5C0}" name="Year(Order Date)" dataDxfId="29">
      <calculatedColumnFormula>YEAR(SalesData[[#This Row],[Order Date]])</calculatedColumnFormula>
    </tableColumn>
    <tableColumn id="22" xr3:uid="{FFA0AB26-065A-4168-9742-4E1860C23B47}" name="Profit Status (IF())" dataDxfId="28">
      <calculatedColumnFormula>IF(SalesData[[#This Row],[Profit]]&gt;0,"Profit","Loss")</calculatedColumnFormula>
    </tableColumn>
    <tableColumn id="23" xr3:uid="{8EDB4C31-A945-4102-85D5-CCFB9F5FCF52}" name="Grading Profit (Nested IF)" dataDxfId="27">
      <calculatedColumnFormula>IF(SalesData[[#This Row],[Profit]]&gt;100,"High Profit",
IF(SalesData[[#This Row],[Profit]]&gt;0,"Low Profit","Loss"))</calculatedColumnFormula>
    </tableColumn>
    <tableColumn id="24" xr3:uid="{2898DBFB-61EE-4987-93BB-AB202BDC2786}" name="IF() with AND" dataDxfId="26">
      <calculatedColumnFormula>IF(AND(SalesData[[#This Row],[Sales]]&gt;500,SalesData[[#This Row],[Profit]]&gt;0),"Good Order","Review")</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C1BE29-5B2A-4E15-A00B-BCC5399C95AC}" name="Table2" displayName="Table2" ref="H19:P21" totalsRowShown="0" headerRowDxfId="25" dataDxfId="24">
  <autoFilter ref="H19:P21" xr:uid="{10C1BE29-5B2A-4E15-A00B-BCC5399C95AC}"/>
  <tableColumns count="9">
    <tableColumn id="1" xr3:uid="{D9F870AF-A8D0-4B1D-876B-57C9DF5FCDEC}" name="Column1" dataDxfId="23"/>
    <tableColumn id="2" xr3:uid="{9A0FB8C0-2445-49D6-9356-07E636D5B71F}" name="Coefficients" dataDxfId="22"/>
    <tableColumn id="3" xr3:uid="{700E951D-6A0E-4E6A-B90E-59203497EEF2}" name="Standard Error" dataDxfId="21"/>
    <tableColumn id="4" xr3:uid="{EAD4458E-3C4C-4882-ADBD-9F93889018FF}" name="t Stat" dataDxfId="20"/>
    <tableColumn id="5" xr3:uid="{82695EC3-597A-490A-8B5B-CD318EAD992A}" name="P-value" dataDxfId="19"/>
    <tableColumn id="6" xr3:uid="{3E94CDF4-6F56-45ED-9660-C6AC50909494}" name="Lower 95%" dataDxfId="18"/>
    <tableColumn id="7" xr3:uid="{A157FA45-656B-407A-82CB-002B84E62614}" name="Upper 95%" dataDxfId="17"/>
    <tableColumn id="8" xr3:uid="{00BDCEEC-0259-444D-8236-394FC3E8E4E6}" name="Lower 95.0%" dataDxfId="16"/>
    <tableColumn id="9" xr3:uid="{2E1A955E-92EF-4FF7-8D90-005158FEE3A1}" name="Upper 95.0%" dataDxfId="15"/>
  </tableColumns>
  <tableStyleInfo name="TableStyleMedium2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61D7B7-EBDC-43B0-AEEE-6A50B3A28A91}" name="Table3" displayName="Table3" ref="I14:N17" totalsRowShown="0" headerRowDxfId="14" dataDxfId="13">
  <autoFilter ref="I14:N17" xr:uid="{8561D7B7-EBDC-43B0-AEEE-6A50B3A28A91}"/>
  <tableColumns count="6">
    <tableColumn id="1" xr3:uid="{3086B6A4-A76F-4B22-A322-755D038822C2}" name="Column1" dataDxfId="12"/>
    <tableColumn id="2" xr3:uid="{F8BF8B5B-E919-4235-9CDA-D512ABB4171E}" name="df" dataDxfId="11"/>
    <tableColumn id="3" xr3:uid="{7476E966-FCCD-4668-BE62-039F6FFDC857}" name="SS" dataDxfId="10"/>
    <tableColumn id="4" xr3:uid="{743ED6EE-F369-49FD-A720-3EF7C3C0CD35}" name="MS" dataDxfId="9"/>
    <tableColumn id="5" xr3:uid="{BD9D31F0-8D45-40DD-81C1-000C80CEEF56}" name="F" dataDxfId="8"/>
    <tableColumn id="6" xr3:uid="{B0C0873D-57D5-45E8-A4F8-3434576AB3A3}" name="Significance F" dataDxfId="7"/>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C97149-8F28-474B-8E10-61BADEEE0C5A}" name="Table7" displayName="Table7" ref="K7:L12" totalsRowShown="0" headerRowDxfId="6" dataDxfId="5">
  <autoFilter ref="K7:L12" xr:uid="{ECC97149-8F28-474B-8E10-61BADEEE0C5A}"/>
  <tableColumns count="2">
    <tableColumn id="1" xr3:uid="{DECF3831-EE4A-4851-8550-C114D19FBB8C}" name="Column1" dataDxfId="4"/>
    <tableColumn id="2" xr3:uid="{327BC877-80BC-4643-B53D-D32A5777D843}" name="Column2" dataDxfId="3"/>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2CB247-9846-4E65-8027-44BEFD4E7C5B}" name="Table4" displayName="Table4" ref="I6:J15" totalsRowShown="0" headerRowDxfId="0">
  <autoFilter ref="I6:J15" xr:uid="{A42CB247-9846-4E65-8027-44BEFD4E7C5B}">
    <filterColumn colId="0" hiddenButton="1"/>
    <filterColumn colId="1" hiddenButton="1"/>
  </autoFilter>
  <tableColumns count="2">
    <tableColumn id="1" xr3:uid="{50FB3AC7-F521-4699-9EC1-B116E0833686}" name="Sr no."/>
    <tableColumn id="2" xr3:uid="{4450D7B6-87B2-43E7-A15C-15AB99C05F0D}" name="Descriptio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3135C8E-F5BE-435C-82A5-21413BD8F2D4}" sourceName="Order Date">
  <pivotTables>
    <pivotTable tabId="3" name="PivotTable3"/>
  </pivotTables>
  <state minimalRefreshVersion="6" lastRefreshVersion="6" pivotCacheId="101097221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D39926-5DED-4FBC-B1C3-9066AD06BE88}" cache="NativeTimeline_Order_Date" caption="Order Date" level="2" selectionLevel="2"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8CF2706-DBF6-4BF4-88F2-74B33768387D}" cache="NativeTimeline_Order_Date" caption="Order Date" level="2" selectionLevel="2" scrollPosition="2014-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F88F-8889-4C36-9CC1-EDB2CFBF0DB8}">
  <dimension ref="A1:AF9995"/>
  <sheetViews>
    <sheetView tabSelected="1" topLeftCell="Q1" workbookViewId="0">
      <selection activeCell="V2" sqref="V2"/>
    </sheetView>
  </sheetViews>
  <sheetFormatPr defaultRowHeight="14.4" x14ac:dyDescent="0.3"/>
  <cols>
    <col min="2" max="2" width="14.6640625" bestFit="1" customWidth="1"/>
    <col min="3" max="4" width="16.77734375" bestFit="1" customWidth="1"/>
    <col min="5" max="5" width="12.77734375" bestFit="1" customWidth="1"/>
    <col min="6" max="6" width="17.33203125" bestFit="1" customWidth="1"/>
    <col min="7" max="7" width="20.44140625" bestFit="1" customWidth="1"/>
    <col min="8" max="8" width="11.88671875" bestFit="1" customWidth="1"/>
    <col min="9" max="9" width="14.77734375" bestFit="1" customWidth="1"/>
    <col min="10" max="10" width="17.33203125" bestFit="1" customWidth="1"/>
    <col min="11" max="11" width="13.109375" bestFit="1" customWidth="1"/>
    <col min="12" max="12" width="12.77734375" customWidth="1"/>
    <col min="13" max="14" width="16.33203125" bestFit="1" customWidth="1"/>
    <col min="15" max="15" width="13.109375" bestFit="1" customWidth="1"/>
    <col min="16" max="16" width="14.33203125" customWidth="1"/>
    <col min="17" max="17" width="12.5546875" customWidth="1"/>
    <col min="18" max="19" width="10.21875" customWidth="1"/>
    <col min="20" max="21" width="17.44140625" bestFit="1" customWidth="1"/>
    <col min="22" max="22" width="16" bestFit="1" customWidth="1"/>
    <col min="23" max="23" width="22.5546875" bestFit="1" customWidth="1"/>
    <col min="24" max="24" width="12.109375" bestFit="1" customWidth="1"/>
    <col min="25" max="25" width="10.109375" bestFit="1" customWidth="1"/>
    <col min="26" max="26" width="9.6640625" bestFit="1" customWidth="1"/>
    <col min="28" max="28" width="16.6640625" bestFit="1" customWidth="1"/>
    <col min="29" max="29" width="10.44140625" bestFit="1" customWidth="1"/>
    <col min="31" max="31" width="10.6640625" bestFit="1" customWidth="1"/>
    <col min="32" max="32" width="9.6640625" bestFit="1" customWidth="1"/>
  </cols>
  <sheetData>
    <row r="1" spans="1:3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824</v>
      </c>
      <c r="U1" s="2" t="s">
        <v>825</v>
      </c>
      <c r="V1" s="2" t="s">
        <v>881</v>
      </c>
      <c r="W1" s="2" t="s">
        <v>844</v>
      </c>
      <c r="X1" s="2" t="s">
        <v>843</v>
      </c>
      <c r="Y1" s="2"/>
      <c r="Z1" s="2"/>
      <c r="AA1" s="2"/>
      <c r="AB1" s="2"/>
    </row>
    <row r="2" spans="1:32" x14ac:dyDescent="0.3">
      <c r="A2" s="2">
        <v>1</v>
      </c>
      <c r="B2" s="2" t="s">
        <v>19</v>
      </c>
      <c r="C2" s="5">
        <v>42593</v>
      </c>
      <c r="D2" s="2" t="s">
        <v>20</v>
      </c>
      <c r="E2" s="2" t="s">
        <v>21</v>
      </c>
      <c r="F2" s="2" t="s">
        <v>22</v>
      </c>
      <c r="G2" s="2" t="s">
        <v>23</v>
      </c>
      <c r="H2" s="2" t="s">
        <v>24</v>
      </c>
      <c r="I2" s="2" t="s">
        <v>25</v>
      </c>
      <c r="J2" s="2" t="s">
        <v>26</v>
      </c>
      <c r="K2" s="2">
        <v>42420</v>
      </c>
      <c r="L2" s="2" t="s">
        <v>27</v>
      </c>
      <c r="M2" s="2" t="s">
        <v>28</v>
      </c>
      <c r="N2" s="2" t="s">
        <v>29</v>
      </c>
      <c r="O2" s="2" t="s">
        <v>30</v>
      </c>
      <c r="P2" s="4">
        <v>261.95999999999998</v>
      </c>
      <c r="Q2" s="2">
        <v>2</v>
      </c>
      <c r="R2" s="3">
        <v>0</v>
      </c>
      <c r="S2" s="4">
        <v>41.913600000000002</v>
      </c>
      <c r="T2" s="2" t="str">
        <f>TEXT(SalesData[[#This Row],[Order Date]],"mmm")</f>
        <v>Aug</v>
      </c>
      <c r="U2" s="2">
        <f>YEAR(SalesData[[#This Row],[Order Date]])</f>
        <v>2016</v>
      </c>
      <c r="V2" s="2" t="str">
        <f>IF(SalesData[[#This Row],[Profit]]&gt;0,"Profit","Loss")</f>
        <v>Profit</v>
      </c>
      <c r="W2" s="2" t="str">
        <f>IF(SalesData[[#This Row],[Profit]]&gt;100,"High Profit",
IF(SalesData[[#This Row],[Profit]]&gt;0,"Low Profit","Loss"))</f>
        <v>Low Profit</v>
      </c>
      <c r="X2" s="2" t="str">
        <f>IF(AND(SalesData[[#This Row],[Sales]]&gt;500,SalesData[[#This Row],[Profit]]&gt;0),"Good Order","Review")</f>
        <v>Review</v>
      </c>
      <c r="Y2" s="2"/>
      <c r="Z2" s="2"/>
      <c r="AA2" s="2"/>
      <c r="AB2" s="2"/>
    </row>
    <row r="3" spans="1:32" x14ac:dyDescent="0.3">
      <c r="A3" s="2">
        <v>2</v>
      </c>
      <c r="B3" s="2" t="s">
        <v>19</v>
      </c>
      <c r="C3" s="5">
        <v>42593</v>
      </c>
      <c r="D3" s="2" t="s">
        <v>20</v>
      </c>
      <c r="E3" s="2" t="s">
        <v>21</v>
      </c>
      <c r="F3" s="2" t="s">
        <v>22</v>
      </c>
      <c r="G3" s="2" t="s">
        <v>23</v>
      </c>
      <c r="H3" s="2" t="s">
        <v>24</v>
      </c>
      <c r="I3" s="2" t="s">
        <v>25</v>
      </c>
      <c r="J3" s="2" t="s">
        <v>26</v>
      </c>
      <c r="K3" s="2">
        <v>42420</v>
      </c>
      <c r="L3" s="2" t="s">
        <v>27</v>
      </c>
      <c r="M3" s="2" t="s">
        <v>31</v>
      </c>
      <c r="N3" s="2" t="s">
        <v>29</v>
      </c>
      <c r="O3" s="2" t="s">
        <v>32</v>
      </c>
      <c r="P3" s="4">
        <v>731.94</v>
      </c>
      <c r="Q3" s="2">
        <v>3</v>
      </c>
      <c r="R3" s="3">
        <v>0</v>
      </c>
      <c r="S3" s="4">
        <v>219.58199999999999</v>
      </c>
      <c r="T3" s="2" t="str">
        <f>TEXT(SalesData[[#This Row],[Order Date]],"mmm")</f>
        <v>Aug</v>
      </c>
      <c r="U3" s="2">
        <f>YEAR(SalesData[[#This Row],[Order Date]])</f>
        <v>2016</v>
      </c>
      <c r="V3" s="2" t="str">
        <f>IF(SalesData[[#This Row],[Profit]]&gt;0,"Profit","Loss")</f>
        <v>Profit</v>
      </c>
      <c r="W3" s="2" t="str">
        <f>IF(SalesData[[#This Row],[Profit]]&gt;100,"High Profit",
IF(SalesData[[#This Row],[Profit]]&gt;0,"Low Profit","Loss"))</f>
        <v>High Profit</v>
      </c>
      <c r="X3" s="2" t="str">
        <f>IF(AND(SalesData[[#This Row],[Sales]]&gt;500,SalesData[[#This Row],[Profit]]&gt;0),"Good Order","Review")</f>
        <v>Good Order</v>
      </c>
      <c r="Y3" s="2"/>
      <c r="Z3" s="2"/>
      <c r="AA3" s="2"/>
      <c r="AB3" s="2"/>
    </row>
    <row r="4" spans="1:32" x14ac:dyDescent="0.3">
      <c r="A4" s="2">
        <v>3</v>
      </c>
      <c r="B4" s="2" t="s">
        <v>33</v>
      </c>
      <c r="C4" s="5">
        <v>42710</v>
      </c>
      <c r="D4" s="2" t="s">
        <v>20</v>
      </c>
      <c r="E4" s="2" t="s">
        <v>34</v>
      </c>
      <c r="F4" s="2" t="s">
        <v>35</v>
      </c>
      <c r="G4" s="2" t="s">
        <v>36</v>
      </c>
      <c r="H4" s="2" t="s">
        <v>24</v>
      </c>
      <c r="I4" s="2" t="s">
        <v>37</v>
      </c>
      <c r="J4" s="2" t="s">
        <v>38</v>
      </c>
      <c r="K4" s="2">
        <v>90036</v>
      </c>
      <c r="L4" s="2" t="s">
        <v>39</v>
      </c>
      <c r="M4" s="2" t="s">
        <v>40</v>
      </c>
      <c r="N4" s="2" t="s">
        <v>41</v>
      </c>
      <c r="O4" s="2" t="s">
        <v>42</v>
      </c>
      <c r="P4" s="4">
        <v>14.62</v>
      </c>
      <c r="Q4" s="2">
        <v>2</v>
      </c>
      <c r="R4" s="3">
        <v>0</v>
      </c>
      <c r="S4" s="4">
        <v>6.8714000000000004</v>
      </c>
      <c r="T4" s="2" t="str">
        <f>TEXT(SalesData[[#This Row],[Order Date]],"mmm")</f>
        <v>Dec</v>
      </c>
      <c r="U4" s="2">
        <f>YEAR(SalesData[[#This Row],[Order Date]])</f>
        <v>2016</v>
      </c>
      <c r="V4" s="2" t="str">
        <f>IF(SalesData[[#This Row],[Profit]]&gt;0,"Profit","Loss")</f>
        <v>Profit</v>
      </c>
      <c r="W4" s="2" t="str">
        <f>IF(SalesData[[#This Row],[Profit]]&gt;100,"High Profit",
IF(SalesData[[#This Row],[Profit]]&gt;0,"Low Profit","Loss"))</f>
        <v>Low Profit</v>
      </c>
      <c r="X4" s="2" t="str">
        <f>IF(AND(SalesData[[#This Row],[Sales]]&gt;500,SalesData[[#This Row],[Profit]]&gt;0),"Good Order","Review")</f>
        <v>Review</v>
      </c>
      <c r="Y4" s="2"/>
      <c r="Z4" s="2"/>
      <c r="AA4" s="2"/>
      <c r="AB4" s="19" t="s">
        <v>871</v>
      </c>
      <c r="AC4" s="19"/>
    </row>
    <row r="5" spans="1:32" x14ac:dyDescent="0.3">
      <c r="A5" s="2">
        <v>4</v>
      </c>
      <c r="B5" s="2" t="s">
        <v>43</v>
      </c>
      <c r="C5" s="5">
        <v>42318</v>
      </c>
      <c r="D5" s="2" t="s">
        <v>44</v>
      </c>
      <c r="E5" s="2" t="s">
        <v>45</v>
      </c>
      <c r="F5" s="2" t="s">
        <v>46</v>
      </c>
      <c r="G5" s="2" t="s">
        <v>23</v>
      </c>
      <c r="H5" s="2" t="s">
        <v>24</v>
      </c>
      <c r="I5" s="2" t="s">
        <v>47</v>
      </c>
      <c r="J5" s="2" t="s">
        <v>48</v>
      </c>
      <c r="K5" s="2">
        <v>33311</v>
      </c>
      <c r="L5" s="2" t="s">
        <v>27</v>
      </c>
      <c r="M5" s="2" t="s">
        <v>49</v>
      </c>
      <c r="N5" s="2" t="s">
        <v>29</v>
      </c>
      <c r="O5" s="2" t="s">
        <v>50</v>
      </c>
      <c r="P5" s="4">
        <v>957.57749999999999</v>
      </c>
      <c r="Q5" s="2">
        <v>5</v>
      </c>
      <c r="R5" s="3">
        <v>0.45</v>
      </c>
      <c r="S5" s="4">
        <v>-383.03100000000001</v>
      </c>
      <c r="T5" s="2" t="str">
        <f>TEXT(SalesData[[#This Row],[Order Date]],"mmm")</f>
        <v>Nov</v>
      </c>
      <c r="U5" s="2">
        <f>YEAR(SalesData[[#This Row],[Order Date]])</f>
        <v>2015</v>
      </c>
      <c r="V5" s="2" t="str">
        <f>IF(SalesData[[#This Row],[Profit]]&gt;0,"Profit","Loss")</f>
        <v>Loss</v>
      </c>
      <c r="W5" s="2" t="str">
        <f>IF(SalesData[[#This Row],[Profit]]&gt;100,"High Profit",
IF(SalesData[[#This Row],[Profit]]&gt;0,"Low Profit","Loss"))</f>
        <v>Loss</v>
      </c>
      <c r="X5" s="2" t="str">
        <f>IF(AND(SalesData[[#This Row],[Sales]]&gt;500,SalesData[[#This Row],[Profit]]&gt;0),"Good Order","Review")</f>
        <v>Review</v>
      </c>
      <c r="Y5" s="2"/>
      <c r="Z5" s="2"/>
      <c r="AA5" s="2"/>
      <c r="AB5" s="12" t="s">
        <v>872</v>
      </c>
      <c r="AC5" s="13">
        <f>SUM(SalesData[Sales])</f>
        <v>77903.809200000003</v>
      </c>
      <c r="AE5" s="2"/>
      <c r="AF5" s="2"/>
    </row>
    <row r="6" spans="1:32" x14ac:dyDescent="0.3">
      <c r="A6" s="2">
        <v>5</v>
      </c>
      <c r="B6" s="2" t="s">
        <v>43</v>
      </c>
      <c r="C6" s="5">
        <v>42318</v>
      </c>
      <c r="D6" s="2" t="s">
        <v>44</v>
      </c>
      <c r="E6" s="2" t="s">
        <v>45</v>
      </c>
      <c r="F6" s="2" t="s">
        <v>46</v>
      </c>
      <c r="G6" s="2" t="s">
        <v>23</v>
      </c>
      <c r="H6" s="2" t="s">
        <v>24</v>
      </c>
      <c r="I6" s="2" t="s">
        <v>47</v>
      </c>
      <c r="J6" s="2" t="s">
        <v>48</v>
      </c>
      <c r="K6" s="2">
        <v>33311</v>
      </c>
      <c r="L6" s="2" t="s">
        <v>27</v>
      </c>
      <c r="M6" s="2" t="s">
        <v>51</v>
      </c>
      <c r="N6" s="2" t="s">
        <v>41</v>
      </c>
      <c r="O6" s="2" t="s">
        <v>52</v>
      </c>
      <c r="P6" s="4">
        <v>22.367999999999999</v>
      </c>
      <c r="Q6" s="2">
        <v>2</v>
      </c>
      <c r="R6" s="3">
        <v>0.2</v>
      </c>
      <c r="S6" s="4">
        <v>2.5164</v>
      </c>
      <c r="T6" s="2" t="str">
        <f>TEXT(SalesData[[#This Row],[Order Date]],"mmm")</f>
        <v>Nov</v>
      </c>
      <c r="U6" s="2">
        <f>YEAR(SalesData[[#This Row],[Order Date]])</f>
        <v>2015</v>
      </c>
      <c r="V6" s="2" t="str">
        <f>IF(SalesData[[#This Row],[Profit]]&gt;0,"Profit","Loss")</f>
        <v>Profit</v>
      </c>
      <c r="W6" s="2" t="str">
        <f>IF(SalesData[[#This Row],[Profit]]&gt;100,"High Profit",
IF(SalesData[[#This Row],[Profit]]&gt;0,"Low Profit","Loss"))</f>
        <v>Low Profit</v>
      </c>
      <c r="X6" s="2" t="str">
        <f>IF(AND(SalesData[[#This Row],[Sales]]&gt;500,SalesData[[#This Row],[Profit]]&gt;0),"Good Order","Review")</f>
        <v>Review</v>
      </c>
      <c r="Y6" s="9"/>
      <c r="Z6" s="2"/>
      <c r="AA6" s="2"/>
      <c r="AB6" s="12" t="s">
        <v>873</v>
      </c>
      <c r="AC6" s="13">
        <f>SUM(SalesData[Profit])</f>
        <v>-499.03469999999993</v>
      </c>
      <c r="AE6" s="9"/>
      <c r="AF6" s="2"/>
    </row>
    <row r="7" spans="1:32" x14ac:dyDescent="0.3">
      <c r="A7" s="2">
        <v>6</v>
      </c>
      <c r="B7" s="2" t="s">
        <v>53</v>
      </c>
      <c r="C7" s="5">
        <v>41888</v>
      </c>
      <c r="D7" s="2" t="s">
        <v>44</v>
      </c>
      <c r="E7" s="2" t="s">
        <v>54</v>
      </c>
      <c r="F7" s="2" t="s">
        <v>55</v>
      </c>
      <c r="G7" s="2" t="s">
        <v>23</v>
      </c>
      <c r="H7" s="2" t="s">
        <v>24</v>
      </c>
      <c r="I7" s="2" t="s">
        <v>37</v>
      </c>
      <c r="J7" s="2" t="s">
        <v>38</v>
      </c>
      <c r="K7" s="2">
        <v>90032</v>
      </c>
      <c r="L7" s="2" t="s">
        <v>39</v>
      </c>
      <c r="M7" s="2" t="s">
        <v>56</v>
      </c>
      <c r="N7" s="2" t="s">
        <v>29</v>
      </c>
      <c r="O7" s="2" t="s">
        <v>57</v>
      </c>
      <c r="P7" s="4">
        <v>48.86</v>
      </c>
      <c r="Q7" s="2">
        <v>7</v>
      </c>
      <c r="R7" s="3">
        <v>0</v>
      </c>
      <c r="S7" s="4">
        <v>14.1694</v>
      </c>
      <c r="T7" s="2" t="str">
        <f>TEXT(SalesData[[#This Row],[Order Date]],"mmm")</f>
        <v>Sep</v>
      </c>
      <c r="U7" s="2">
        <f>YEAR(SalesData[[#This Row],[Order Date]])</f>
        <v>2014</v>
      </c>
      <c r="V7" s="2" t="str">
        <f>IF(SalesData[[#This Row],[Profit]]&gt;0,"Profit","Loss")</f>
        <v>Profit</v>
      </c>
      <c r="W7" s="2" t="str">
        <f>IF(SalesData[[#This Row],[Profit]]&gt;100,"High Profit",
IF(SalesData[[#This Row],[Profit]]&gt;0,"Low Profit","Loss"))</f>
        <v>Low Profit</v>
      </c>
      <c r="X7" s="2" t="str">
        <f>IF(AND(SalesData[[#This Row],[Sales]]&gt;500,SalesData[[#This Row],[Profit]]&gt;0),"Good Order","Review")</f>
        <v>Review</v>
      </c>
      <c r="Y7" s="2"/>
      <c r="Z7" s="2"/>
      <c r="AA7" s="2"/>
      <c r="AB7" s="12" t="s">
        <v>874</v>
      </c>
      <c r="AC7" s="14">
        <f>COUNTA(SalesData[Order ID])</f>
        <v>300</v>
      </c>
    </row>
    <row r="8" spans="1:32" x14ac:dyDescent="0.3">
      <c r="A8" s="2">
        <v>7</v>
      </c>
      <c r="B8" s="2" t="s">
        <v>53</v>
      </c>
      <c r="C8" s="5">
        <v>41888</v>
      </c>
      <c r="D8" s="2" t="s">
        <v>44</v>
      </c>
      <c r="E8" s="2" t="s">
        <v>54</v>
      </c>
      <c r="F8" s="2" t="s">
        <v>55</v>
      </c>
      <c r="G8" s="2" t="s">
        <v>23</v>
      </c>
      <c r="H8" s="2" t="s">
        <v>24</v>
      </c>
      <c r="I8" s="2" t="s">
        <v>37</v>
      </c>
      <c r="J8" s="2" t="s">
        <v>38</v>
      </c>
      <c r="K8" s="2">
        <v>90032</v>
      </c>
      <c r="L8" s="2" t="s">
        <v>39</v>
      </c>
      <c r="M8" s="2" t="s">
        <v>58</v>
      </c>
      <c r="N8" s="2" t="s">
        <v>41</v>
      </c>
      <c r="O8" s="2" t="s">
        <v>59</v>
      </c>
      <c r="P8" s="4">
        <v>7.28</v>
      </c>
      <c r="Q8" s="2">
        <v>4</v>
      </c>
      <c r="R8" s="3">
        <v>0</v>
      </c>
      <c r="S8" s="4">
        <v>1.9656</v>
      </c>
      <c r="T8" s="2" t="str">
        <f>TEXT(SalesData[[#This Row],[Order Date]],"mmm")</f>
        <v>Sep</v>
      </c>
      <c r="U8" s="2">
        <f>YEAR(SalesData[[#This Row],[Order Date]])</f>
        <v>2014</v>
      </c>
      <c r="V8" s="2" t="str">
        <f>IF(SalesData[[#This Row],[Profit]]&gt;0,"Profit","Loss")</f>
        <v>Profit</v>
      </c>
      <c r="W8" s="2" t="str">
        <f>IF(SalesData[[#This Row],[Profit]]&gt;100,"High Profit",
IF(SalesData[[#This Row],[Profit]]&gt;0,"Low Profit","Loss"))</f>
        <v>Low Profit</v>
      </c>
      <c r="X8" s="2" t="str">
        <f>IF(AND(SalesData[[#This Row],[Sales]]&gt;500,SalesData[[#This Row],[Profit]]&gt;0),"Good Order","Review")</f>
        <v>Review</v>
      </c>
      <c r="Y8" s="2"/>
      <c r="Z8" s="2"/>
      <c r="AA8" s="2"/>
      <c r="AB8" s="12" t="s">
        <v>842</v>
      </c>
      <c r="AC8" s="14" t="str">
        <f>VLOOKUP(A2,SalesData[],15,FALSE)</f>
        <v>Bookcases</v>
      </c>
    </row>
    <row r="9" spans="1:32" x14ac:dyDescent="0.3">
      <c r="A9" s="2">
        <v>8</v>
      </c>
      <c r="B9" s="2" t="s">
        <v>53</v>
      </c>
      <c r="C9" s="5">
        <v>41888</v>
      </c>
      <c r="D9" s="2" t="s">
        <v>44</v>
      </c>
      <c r="E9" s="2" t="s">
        <v>54</v>
      </c>
      <c r="F9" s="2" t="s">
        <v>55</v>
      </c>
      <c r="G9" s="2" t="s">
        <v>23</v>
      </c>
      <c r="H9" s="2" t="s">
        <v>24</v>
      </c>
      <c r="I9" s="2" t="s">
        <v>37</v>
      </c>
      <c r="J9" s="2" t="s">
        <v>38</v>
      </c>
      <c r="K9" s="2">
        <v>90032</v>
      </c>
      <c r="L9" s="2" t="s">
        <v>39</v>
      </c>
      <c r="M9" s="2" t="s">
        <v>60</v>
      </c>
      <c r="N9" s="2" t="s">
        <v>61</v>
      </c>
      <c r="O9" s="2" t="s">
        <v>62</v>
      </c>
      <c r="P9" s="4">
        <v>907.15200000000004</v>
      </c>
      <c r="Q9" s="2">
        <v>6</v>
      </c>
      <c r="R9" s="3">
        <v>0.2</v>
      </c>
      <c r="S9" s="4">
        <v>90.715199999999996</v>
      </c>
      <c r="T9" s="2" t="str">
        <f>TEXT(SalesData[[#This Row],[Order Date]],"mmm")</f>
        <v>Sep</v>
      </c>
      <c r="U9" s="2">
        <f>YEAR(SalesData[[#This Row],[Order Date]])</f>
        <v>2014</v>
      </c>
      <c r="V9" s="2" t="str">
        <f>IF(SalesData[[#This Row],[Profit]]&gt;0,"Profit","Loss")</f>
        <v>Profit</v>
      </c>
      <c r="W9" s="2" t="str">
        <f>IF(SalesData[[#This Row],[Profit]]&gt;100,"High Profit",
IF(SalesData[[#This Row],[Profit]]&gt;0,"Low Profit","Loss"))</f>
        <v>Low Profit</v>
      </c>
      <c r="X9" s="2" t="str">
        <f>IF(AND(SalesData[[#This Row],[Sales]]&gt;500,SalesData[[#This Row],[Profit]]&gt;0),"Good Order","Review")</f>
        <v>Good Order</v>
      </c>
      <c r="Y9" s="2"/>
      <c r="Z9" s="2"/>
      <c r="AA9" s="2"/>
      <c r="AB9" s="12" t="s">
        <v>875</v>
      </c>
      <c r="AC9" s="14">
        <f>SUM(SalesData[Quantity])</f>
        <v>1213</v>
      </c>
    </row>
    <row r="10" spans="1:32" x14ac:dyDescent="0.3">
      <c r="A10" s="2">
        <v>9</v>
      </c>
      <c r="B10" s="2" t="s">
        <v>53</v>
      </c>
      <c r="C10" s="5">
        <v>41888</v>
      </c>
      <c r="D10" s="2" t="s">
        <v>44</v>
      </c>
      <c r="E10" s="2" t="s">
        <v>54</v>
      </c>
      <c r="F10" s="2" t="s">
        <v>55</v>
      </c>
      <c r="G10" s="2" t="s">
        <v>23</v>
      </c>
      <c r="H10" s="2" t="s">
        <v>24</v>
      </c>
      <c r="I10" s="2" t="s">
        <v>37</v>
      </c>
      <c r="J10" s="2" t="s">
        <v>38</v>
      </c>
      <c r="K10" s="2">
        <v>90032</v>
      </c>
      <c r="L10" s="2" t="s">
        <v>39</v>
      </c>
      <c r="M10" s="2" t="s">
        <v>63</v>
      </c>
      <c r="N10" s="2" t="s">
        <v>41</v>
      </c>
      <c r="O10" s="2" t="s">
        <v>64</v>
      </c>
      <c r="P10" s="4">
        <v>18.504000000000001</v>
      </c>
      <c r="Q10" s="2">
        <v>3</v>
      </c>
      <c r="R10" s="3">
        <v>0.2</v>
      </c>
      <c r="S10" s="4">
        <v>5.7824999999999998</v>
      </c>
      <c r="T10" s="2" t="str">
        <f>TEXT(SalesData[[#This Row],[Order Date]],"mmm")</f>
        <v>Sep</v>
      </c>
      <c r="U10" s="2">
        <f>YEAR(SalesData[[#This Row],[Order Date]])</f>
        <v>2014</v>
      </c>
      <c r="V10" s="2" t="str">
        <f>IF(SalesData[[#This Row],[Profit]]&gt;0,"Profit","Loss")</f>
        <v>Profit</v>
      </c>
      <c r="W10" s="2" t="str">
        <f>IF(SalesData[[#This Row],[Profit]]&gt;100,"High Profit",
IF(SalesData[[#This Row],[Profit]]&gt;0,"Low Profit","Loss"))</f>
        <v>Low Profit</v>
      </c>
      <c r="X10" s="2" t="str">
        <f>IF(AND(SalesData[[#This Row],[Sales]]&gt;500,SalesData[[#This Row],[Profit]]&gt;0),"Good Order","Review")</f>
        <v>Review</v>
      </c>
      <c r="Y10" s="2"/>
      <c r="Z10" s="2"/>
      <c r="AA10" s="2"/>
      <c r="AB10" s="2"/>
    </row>
    <row r="11" spans="1:32" x14ac:dyDescent="0.3">
      <c r="A11" s="2">
        <v>10</v>
      </c>
      <c r="B11" s="2" t="s">
        <v>53</v>
      </c>
      <c r="C11" s="5">
        <v>41888</v>
      </c>
      <c r="D11" s="2" t="s">
        <v>44</v>
      </c>
      <c r="E11" s="2" t="s">
        <v>54</v>
      </c>
      <c r="F11" s="2" t="s">
        <v>55</v>
      </c>
      <c r="G11" s="2" t="s">
        <v>23</v>
      </c>
      <c r="H11" s="2" t="s">
        <v>24</v>
      </c>
      <c r="I11" s="2" t="s">
        <v>37</v>
      </c>
      <c r="J11" s="2" t="s">
        <v>38</v>
      </c>
      <c r="K11" s="2">
        <v>90032</v>
      </c>
      <c r="L11" s="2" t="s">
        <v>39</v>
      </c>
      <c r="M11" s="2" t="s">
        <v>65</v>
      </c>
      <c r="N11" s="2" t="s">
        <v>41</v>
      </c>
      <c r="O11" s="2" t="s">
        <v>66</v>
      </c>
      <c r="P11" s="4">
        <v>114.9</v>
      </c>
      <c r="Q11" s="2">
        <v>5</v>
      </c>
      <c r="R11" s="3">
        <v>0</v>
      </c>
      <c r="S11" s="4">
        <v>34.47</v>
      </c>
      <c r="T11" s="2" t="str">
        <f>TEXT(SalesData[[#This Row],[Order Date]],"mmm")</f>
        <v>Sep</v>
      </c>
      <c r="U11" s="2">
        <f>YEAR(SalesData[[#This Row],[Order Date]])</f>
        <v>2014</v>
      </c>
      <c r="V11" s="2" t="str">
        <f>IF(SalesData[[#This Row],[Profit]]&gt;0,"Profit","Loss")</f>
        <v>Profit</v>
      </c>
      <c r="W11" s="2" t="str">
        <f>IF(SalesData[[#This Row],[Profit]]&gt;100,"High Profit",
IF(SalesData[[#This Row],[Profit]]&gt;0,"Low Profit","Loss"))</f>
        <v>Low Profit</v>
      </c>
      <c r="X11" s="2" t="str">
        <f>IF(AND(SalesData[[#This Row],[Sales]]&gt;500,SalesData[[#This Row],[Profit]]&gt;0),"Good Order","Review")</f>
        <v>Review</v>
      </c>
      <c r="Y11" s="2"/>
      <c r="Z11" s="2"/>
      <c r="AA11" s="2"/>
      <c r="AB11" s="2"/>
    </row>
    <row r="12" spans="1:32" x14ac:dyDescent="0.3">
      <c r="A12" s="2">
        <v>11</v>
      </c>
      <c r="B12" s="2" t="s">
        <v>53</v>
      </c>
      <c r="C12" s="5">
        <v>41888</v>
      </c>
      <c r="D12" s="2" t="s">
        <v>44</v>
      </c>
      <c r="E12" s="2" t="s">
        <v>54</v>
      </c>
      <c r="F12" s="2" t="s">
        <v>55</v>
      </c>
      <c r="G12" s="2" t="s">
        <v>23</v>
      </c>
      <c r="H12" s="2" t="s">
        <v>24</v>
      </c>
      <c r="I12" s="2" t="s">
        <v>37</v>
      </c>
      <c r="J12" s="2" t="s">
        <v>38</v>
      </c>
      <c r="K12" s="2">
        <v>90032</v>
      </c>
      <c r="L12" s="2" t="s">
        <v>39</v>
      </c>
      <c r="M12" s="2" t="s">
        <v>67</v>
      </c>
      <c r="N12" s="2" t="s">
        <v>29</v>
      </c>
      <c r="O12" s="2" t="s">
        <v>50</v>
      </c>
      <c r="P12" s="4">
        <v>1706.184</v>
      </c>
      <c r="Q12" s="2">
        <v>9</v>
      </c>
      <c r="R12" s="3">
        <v>0.2</v>
      </c>
      <c r="S12" s="4">
        <v>85.309200000000004</v>
      </c>
      <c r="T12" s="2" t="str">
        <f>TEXT(SalesData[[#This Row],[Order Date]],"mmm")</f>
        <v>Sep</v>
      </c>
      <c r="U12" s="2">
        <f>YEAR(SalesData[[#This Row],[Order Date]])</f>
        <v>2014</v>
      </c>
      <c r="V12" s="2" t="str">
        <f>IF(SalesData[[#This Row],[Profit]]&gt;0,"Profit","Loss")</f>
        <v>Profit</v>
      </c>
      <c r="W12" s="2" t="str">
        <f>IF(SalesData[[#This Row],[Profit]]&gt;100,"High Profit",
IF(SalesData[[#This Row],[Profit]]&gt;0,"Low Profit","Loss"))</f>
        <v>Low Profit</v>
      </c>
      <c r="X12" s="2" t="str">
        <f>IF(AND(SalesData[[#This Row],[Sales]]&gt;500,SalesData[[#This Row],[Profit]]&gt;0),"Good Order","Review")</f>
        <v>Good Order</v>
      </c>
      <c r="Y12" s="2"/>
      <c r="Z12" s="2"/>
      <c r="AA12" s="2"/>
      <c r="AB12" s="2"/>
    </row>
    <row r="13" spans="1:32" x14ac:dyDescent="0.3">
      <c r="A13" s="2">
        <v>12</v>
      </c>
      <c r="B13" s="2" t="s">
        <v>53</v>
      </c>
      <c r="C13" s="5">
        <v>41888</v>
      </c>
      <c r="D13" s="2" t="s">
        <v>44</v>
      </c>
      <c r="E13" s="2" t="s">
        <v>54</v>
      </c>
      <c r="F13" s="2" t="s">
        <v>55</v>
      </c>
      <c r="G13" s="2" t="s">
        <v>23</v>
      </c>
      <c r="H13" s="2" t="s">
        <v>24</v>
      </c>
      <c r="I13" s="2" t="s">
        <v>37</v>
      </c>
      <c r="J13" s="2" t="s">
        <v>38</v>
      </c>
      <c r="K13" s="2">
        <v>90032</v>
      </c>
      <c r="L13" s="2" t="s">
        <v>39</v>
      </c>
      <c r="M13" s="2" t="s">
        <v>68</v>
      </c>
      <c r="N13" s="2" t="s">
        <v>61</v>
      </c>
      <c r="O13" s="2" t="s">
        <v>62</v>
      </c>
      <c r="P13" s="4">
        <v>911.42399999999998</v>
      </c>
      <c r="Q13" s="2">
        <v>4</v>
      </c>
      <c r="R13" s="3">
        <v>0.2</v>
      </c>
      <c r="S13" s="4">
        <v>68.356800000000007</v>
      </c>
      <c r="T13" s="2" t="str">
        <f>TEXT(SalesData[[#This Row],[Order Date]],"mmm")</f>
        <v>Sep</v>
      </c>
      <c r="U13" s="2">
        <f>YEAR(SalesData[[#This Row],[Order Date]])</f>
        <v>2014</v>
      </c>
      <c r="V13" s="2" t="str">
        <f>IF(SalesData[[#This Row],[Profit]]&gt;0,"Profit","Loss")</f>
        <v>Profit</v>
      </c>
      <c r="W13" s="2" t="str">
        <f>IF(SalesData[[#This Row],[Profit]]&gt;100,"High Profit",
IF(SalesData[[#This Row],[Profit]]&gt;0,"Low Profit","Loss"))</f>
        <v>Low Profit</v>
      </c>
      <c r="X13" s="2" t="str">
        <f>IF(AND(SalesData[[#This Row],[Sales]]&gt;500,SalesData[[#This Row],[Profit]]&gt;0),"Good Order","Review")</f>
        <v>Good Order</v>
      </c>
      <c r="Y13" s="2"/>
      <c r="Z13" s="2"/>
      <c r="AA13" s="2"/>
      <c r="AB13" s="2"/>
    </row>
    <row r="14" spans="1:32" x14ac:dyDescent="0.3">
      <c r="A14" s="2">
        <v>13</v>
      </c>
      <c r="B14" s="2" t="s">
        <v>69</v>
      </c>
      <c r="C14" s="5">
        <v>42840</v>
      </c>
      <c r="D14" s="2" t="s">
        <v>44</v>
      </c>
      <c r="E14" s="2" t="s">
        <v>70</v>
      </c>
      <c r="F14" s="2" t="s">
        <v>71</v>
      </c>
      <c r="G14" s="2" t="s">
        <v>23</v>
      </c>
      <c r="H14" s="2" t="s">
        <v>24</v>
      </c>
      <c r="I14" s="2" t="s">
        <v>72</v>
      </c>
      <c r="J14" s="2" t="s">
        <v>73</v>
      </c>
      <c r="K14" s="2">
        <v>28027</v>
      </c>
      <c r="L14" s="2" t="s">
        <v>27</v>
      </c>
      <c r="M14" s="2" t="s">
        <v>74</v>
      </c>
      <c r="N14" s="2" t="s">
        <v>41</v>
      </c>
      <c r="O14" s="2" t="s">
        <v>75</v>
      </c>
      <c r="P14" s="4">
        <v>15.552</v>
      </c>
      <c r="Q14" s="2">
        <v>3</v>
      </c>
      <c r="R14" s="3">
        <v>0.2</v>
      </c>
      <c r="S14" s="4">
        <v>5.4432</v>
      </c>
      <c r="T14" s="2" t="str">
        <f>TEXT(SalesData[[#This Row],[Order Date]],"mmm")</f>
        <v>Apr</v>
      </c>
      <c r="U14" s="2">
        <f>YEAR(SalesData[[#This Row],[Order Date]])</f>
        <v>2017</v>
      </c>
      <c r="V14" s="2" t="str">
        <f>IF(SalesData[[#This Row],[Profit]]&gt;0,"Profit","Loss")</f>
        <v>Profit</v>
      </c>
      <c r="W14" s="2" t="str">
        <f>IF(SalesData[[#This Row],[Profit]]&gt;100,"High Profit",
IF(SalesData[[#This Row],[Profit]]&gt;0,"Low Profit","Loss"))</f>
        <v>Low Profit</v>
      </c>
      <c r="X14" s="2" t="str">
        <f>IF(AND(SalesData[[#This Row],[Sales]]&gt;500,SalesData[[#This Row],[Profit]]&gt;0),"Good Order","Review")</f>
        <v>Review</v>
      </c>
      <c r="Y14" s="2"/>
      <c r="Z14" s="2"/>
      <c r="AA14" s="2"/>
      <c r="AB14" s="2"/>
    </row>
    <row r="15" spans="1:32" x14ac:dyDescent="0.3">
      <c r="A15" s="2">
        <v>14</v>
      </c>
      <c r="B15" s="2" t="s">
        <v>76</v>
      </c>
      <c r="C15" s="5">
        <v>42502</v>
      </c>
      <c r="D15" s="2" t="s">
        <v>44</v>
      </c>
      <c r="E15" s="2" t="s">
        <v>77</v>
      </c>
      <c r="F15" s="2" t="s">
        <v>78</v>
      </c>
      <c r="G15" s="2" t="s">
        <v>23</v>
      </c>
      <c r="H15" s="2" t="s">
        <v>24</v>
      </c>
      <c r="I15" s="2" t="s">
        <v>79</v>
      </c>
      <c r="J15" s="2" t="s">
        <v>80</v>
      </c>
      <c r="K15" s="2">
        <v>98103</v>
      </c>
      <c r="L15" s="2" t="s">
        <v>39</v>
      </c>
      <c r="M15" s="2" t="s">
        <v>81</v>
      </c>
      <c r="N15" s="2" t="s">
        <v>41</v>
      </c>
      <c r="O15" s="2" t="s">
        <v>64</v>
      </c>
      <c r="P15" s="4">
        <v>407.976</v>
      </c>
      <c r="Q15" s="2">
        <v>3</v>
      </c>
      <c r="R15" s="3">
        <v>0.2</v>
      </c>
      <c r="S15" s="4">
        <v>132.59219999999999</v>
      </c>
      <c r="T15" s="2" t="str">
        <f>TEXT(SalesData[[#This Row],[Order Date]],"mmm")</f>
        <v>May</v>
      </c>
      <c r="U15" s="2">
        <f>YEAR(SalesData[[#This Row],[Order Date]])</f>
        <v>2016</v>
      </c>
      <c r="V15" s="2" t="str">
        <f>IF(SalesData[[#This Row],[Profit]]&gt;0,"Profit","Loss")</f>
        <v>Profit</v>
      </c>
      <c r="W15" s="2" t="str">
        <f>IF(SalesData[[#This Row],[Profit]]&gt;100,"High Profit",
IF(SalesData[[#This Row],[Profit]]&gt;0,"Low Profit","Loss"))</f>
        <v>High Profit</v>
      </c>
      <c r="X15" s="2" t="str">
        <f>IF(AND(SalesData[[#This Row],[Sales]]&gt;500,SalesData[[#This Row],[Profit]]&gt;0),"Good Order","Review")</f>
        <v>Review</v>
      </c>
      <c r="Y15" s="2"/>
      <c r="Z15" s="2"/>
      <c r="AA15" s="2"/>
      <c r="AB15" s="2"/>
    </row>
    <row r="16" spans="1:32" x14ac:dyDescent="0.3">
      <c r="A16" s="2">
        <v>15</v>
      </c>
      <c r="B16" s="2" t="s">
        <v>82</v>
      </c>
      <c r="C16" s="5">
        <v>42330</v>
      </c>
      <c r="D16" s="2" t="s">
        <v>44</v>
      </c>
      <c r="E16" s="2" t="s">
        <v>83</v>
      </c>
      <c r="F16" s="2" t="s">
        <v>84</v>
      </c>
      <c r="G16" s="2" t="s">
        <v>85</v>
      </c>
      <c r="H16" s="2" t="s">
        <v>24</v>
      </c>
      <c r="I16" s="2" t="s">
        <v>86</v>
      </c>
      <c r="J16" s="2" t="s">
        <v>87</v>
      </c>
      <c r="K16" s="2">
        <v>76106</v>
      </c>
      <c r="L16" s="2" t="s">
        <v>88</v>
      </c>
      <c r="M16" s="2" t="s">
        <v>89</v>
      </c>
      <c r="N16" s="2" t="s">
        <v>41</v>
      </c>
      <c r="O16" s="2" t="s">
        <v>66</v>
      </c>
      <c r="P16" s="4">
        <v>68.81</v>
      </c>
      <c r="Q16" s="2">
        <v>5</v>
      </c>
      <c r="R16" s="3">
        <v>0.8</v>
      </c>
      <c r="S16" s="4">
        <v>-123.858</v>
      </c>
      <c r="T16" s="2" t="str">
        <f>TEXT(SalesData[[#This Row],[Order Date]],"mmm")</f>
        <v>Nov</v>
      </c>
      <c r="U16" s="2">
        <f>YEAR(SalesData[[#This Row],[Order Date]])</f>
        <v>2015</v>
      </c>
      <c r="V16" s="2" t="str">
        <f>IF(SalesData[[#This Row],[Profit]]&gt;0,"Profit","Loss")</f>
        <v>Loss</v>
      </c>
      <c r="W16" s="2" t="str">
        <f>IF(SalesData[[#This Row],[Profit]]&gt;100,"High Profit",
IF(SalesData[[#This Row],[Profit]]&gt;0,"Low Profit","Loss"))</f>
        <v>Loss</v>
      </c>
      <c r="X16" s="2" t="str">
        <f>IF(AND(SalesData[[#This Row],[Sales]]&gt;500,SalesData[[#This Row],[Profit]]&gt;0),"Good Order","Review")</f>
        <v>Review</v>
      </c>
      <c r="Y16" s="2"/>
      <c r="Z16" s="2"/>
      <c r="AA16" s="2"/>
      <c r="AB16" s="2"/>
    </row>
    <row r="17" spans="1:28" x14ac:dyDescent="0.3">
      <c r="A17" s="2">
        <v>16</v>
      </c>
      <c r="B17" s="2" t="s">
        <v>82</v>
      </c>
      <c r="C17" s="5">
        <v>42330</v>
      </c>
      <c r="D17" s="2" t="s">
        <v>44</v>
      </c>
      <c r="E17" s="2" t="s">
        <v>83</v>
      </c>
      <c r="F17" s="2" t="s">
        <v>84</v>
      </c>
      <c r="G17" s="2" t="s">
        <v>85</v>
      </c>
      <c r="H17" s="2" t="s">
        <v>24</v>
      </c>
      <c r="I17" s="2" t="s">
        <v>86</v>
      </c>
      <c r="J17" s="2" t="s">
        <v>87</v>
      </c>
      <c r="K17" s="2">
        <v>76106</v>
      </c>
      <c r="L17" s="2" t="s">
        <v>88</v>
      </c>
      <c r="M17" s="2" t="s">
        <v>90</v>
      </c>
      <c r="N17" s="2" t="s">
        <v>41</v>
      </c>
      <c r="O17" s="2" t="s">
        <v>64</v>
      </c>
      <c r="P17" s="4">
        <v>2.544</v>
      </c>
      <c r="Q17" s="2">
        <v>3</v>
      </c>
      <c r="R17" s="3">
        <v>0.8</v>
      </c>
      <c r="S17" s="4">
        <v>-3.8159999999999998</v>
      </c>
      <c r="T17" s="2" t="str">
        <f>TEXT(SalesData[[#This Row],[Order Date]],"mmm")</f>
        <v>Nov</v>
      </c>
      <c r="U17" s="2">
        <f>YEAR(SalesData[[#This Row],[Order Date]])</f>
        <v>2015</v>
      </c>
      <c r="V17" s="2" t="str">
        <f>IF(SalesData[[#This Row],[Profit]]&gt;0,"Profit","Loss")</f>
        <v>Loss</v>
      </c>
      <c r="W17" s="2" t="str">
        <f>IF(SalesData[[#This Row],[Profit]]&gt;100,"High Profit",
IF(SalesData[[#This Row],[Profit]]&gt;0,"Low Profit","Loss"))</f>
        <v>Loss</v>
      </c>
      <c r="X17" s="2" t="str">
        <f>IF(AND(SalesData[[#This Row],[Sales]]&gt;500,SalesData[[#This Row],[Profit]]&gt;0),"Good Order","Review")</f>
        <v>Review</v>
      </c>
      <c r="Y17" s="2"/>
      <c r="Z17" s="2"/>
      <c r="AA17" s="2"/>
      <c r="AB17" s="2"/>
    </row>
    <row r="18" spans="1:28" x14ac:dyDescent="0.3">
      <c r="A18" s="2">
        <v>17</v>
      </c>
      <c r="B18" s="2" t="s">
        <v>91</v>
      </c>
      <c r="C18" s="5">
        <v>41954</v>
      </c>
      <c r="D18" s="2" t="s">
        <v>44</v>
      </c>
      <c r="E18" s="2" t="s">
        <v>92</v>
      </c>
      <c r="F18" s="2" t="s">
        <v>93</v>
      </c>
      <c r="G18" s="2" t="s">
        <v>23</v>
      </c>
      <c r="H18" s="2" t="s">
        <v>24</v>
      </c>
      <c r="I18" s="2" t="s">
        <v>94</v>
      </c>
      <c r="J18" s="2" t="s">
        <v>95</v>
      </c>
      <c r="K18" s="2">
        <v>53711</v>
      </c>
      <c r="L18" s="2" t="s">
        <v>88</v>
      </c>
      <c r="M18" s="2" t="s">
        <v>96</v>
      </c>
      <c r="N18" s="2" t="s">
        <v>41</v>
      </c>
      <c r="O18" s="2" t="s">
        <v>52</v>
      </c>
      <c r="P18" s="4">
        <v>665.88</v>
      </c>
      <c r="Q18" s="2">
        <v>6</v>
      </c>
      <c r="R18" s="3">
        <v>0</v>
      </c>
      <c r="S18" s="4">
        <v>13.317600000000001</v>
      </c>
      <c r="T18" s="2" t="str">
        <f>TEXT(SalesData[[#This Row],[Order Date]],"mmm")</f>
        <v>Nov</v>
      </c>
      <c r="U18" s="2">
        <f>YEAR(SalesData[[#This Row],[Order Date]])</f>
        <v>2014</v>
      </c>
      <c r="V18" s="2" t="str">
        <f>IF(SalesData[[#This Row],[Profit]]&gt;0,"Profit","Loss")</f>
        <v>Profit</v>
      </c>
      <c r="W18" s="2" t="str">
        <f>IF(SalesData[[#This Row],[Profit]]&gt;100,"High Profit",
IF(SalesData[[#This Row],[Profit]]&gt;0,"Low Profit","Loss"))</f>
        <v>Low Profit</v>
      </c>
      <c r="X18" s="2" t="str">
        <f>IF(AND(SalesData[[#This Row],[Sales]]&gt;500,SalesData[[#This Row],[Profit]]&gt;0),"Good Order","Review")</f>
        <v>Good Order</v>
      </c>
      <c r="Y18" s="2"/>
      <c r="Z18" s="2"/>
      <c r="AA18" s="2"/>
      <c r="AB18" s="2"/>
    </row>
    <row r="19" spans="1:28" x14ac:dyDescent="0.3">
      <c r="A19" s="2">
        <v>18</v>
      </c>
      <c r="B19" s="2" t="s">
        <v>97</v>
      </c>
      <c r="C19" s="5">
        <v>41772</v>
      </c>
      <c r="D19" s="2" t="s">
        <v>20</v>
      </c>
      <c r="E19" s="2" t="s">
        <v>98</v>
      </c>
      <c r="F19" s="2" t="s">
        <v>99</v>
      </c>
      <c r="G19" s="2" t="s">
        <v>23</v>
      </c>
      <c r="H19" s="2" t="s">
        <v>24</v>
      </c>
      <c r="I19" s="2" t="s">
        <v>100</v>
      </c>
      <c r="J19" s="2" t="s">
        <v>101</v>
      </c>
      <c r="K19" s="2">
        <v>84084</v>
      </c>
      <c r="L19" s="2" t="s">
        <v>39</v>
      </c>
      <c r="M19" s="2" t="s">
        <v>102</v>
      </c>
      <c r="N19" s="2" t="s">
        <v>41</v>
      </c>
      <c r="O19" s="2" t="s">
        <v>52</v>
      </c>
      <c r="P19" s="4">
        <v>55.5</v>
      </c>
      <c r="Q19" s="2">
        <v>2</v>
      </c>
      <c r="R19" s="3">
        <v>0</v>
      </c>
      <c r="S19" s="4">
        <v>9.99</v>
      </c>
      <c r="T19" s="2" t="str">
        <f>TEXT(SalesData[[#This Row],[Order Date]],"mmm")</f>
        <v>May</v>
      </c>
      <c r="U19" s="2">
        <f>YEAR(SalesData[[#This Row],[Order Date]])</f>
        <v>2014</v>
      </c>
      <c r="V19" s="2" t="str">
        <f>IF(SalesData[[#This Row],[Profit]]&gt;0,"Profit","Loss")</f>
        <v>Profit</v>
      </c>
      <c r="W19" s="2" t="str">
        <f>IF(SalesData[[#This Row],[Profit]]&gt;100,"High Profit",
IF(SalesData[[#This Row],[Profit]]&gt;0,"Low Profit","Loss"))</f>
        <v>Low Profit</v>
      </c>
      <c r="X19" s="2" t="str">
        <f>IF(AND(SalesData[[#This Row],[Sales]]&gt;500,SalesData[[#This Row],[Profit]]&gt;0),"Good Order","Review")</f>
        <v>Review</v>
      </c>
      <c r="Y19" s="2"/>
      <c r="Z19" s="2"/>
      <c r="AA19" s="2"/>
      <c r="AB19" s="2"/>
    </row>
    <row r="20" spans="1:28" x14ac:dyDescent="0.3">
      <c r="A20" s="2">
        <v>19</v>
      </c>
      <c r="B20" s="2" t="s">
        <v>103</v>
      </c>
      <c r="C20" s="5">
        <v>41878</v>
      </c>
      <c r="D20" s="2" t="s">
        <v>20</v>
      </c>
      <c r="E20" s="2" t="s">
        <v>104</v>
      </c>
      <c r="F20" s="2" t="s">
        <v>105</v>
      </c>
      <c r="G20" s="2" t="s">
        <v>23</v>
      </c>
      <c r="H20" s="2" t="s">
        <v>24</v>
      </c>
      <c r="I20" s="2" t="s">
        <v>106</v>
      </c>
      <c r="J20" s="2" t="s">
        <v>38</v>
      </c>
      <c r="K20" s="2">
        <v>94109</v>
      </c>
      <c r="L20" s="2" t="s">
        <v>39</v>
      </c>
      <c r="M20" s="2" t="s">
        <v>107</v>
      </c>
      <c r="N20" s="2" t="s">
        <v>41</v>
      </c>
      <c r="O20" s="2" t="s">
        <v>59</v>
      </c>
      <c r="P20" s="4">
        <v>8.56</v>
      </c>
      <c r="Q20" s="2">
        <v>2</v>
      </c>
      <c r="R20" s="3">
        <v>0</v>
      </c>
      <c r="S20" s="4">
        <v>2.4824000000000002</v>
      </c>
      <c r="T20" s="2" t="str">
        <f>TEXT(SalesData[[#This Row],[Order Date]],"mmm")</f>
        <v>Aug</v>
      </c>
      <c r="U20" s="2">
        <f>YEAR(SalesData[[#This Row],[Order Date]])</f>
        <v>2014</v>
      </c>
      <c r="V20" s="2" t="str">
        <f>IF(SalesData[[#This Row],[Profit]]&gt;0,"Profit","Loss")</f>
        <v>Profit</v>
      </c>
      <c r="W20" s="2" t="str">
        <f>IF(SalesData[[#This Row],[Profit]]&gt;100,"High Profit",
IF(SalesData[[#This Row],[Profit]]&gt;0,"Low Profit","Loss"))</f>
        <v>Low Profit</v>
      </c>
      <c r="X20" s="2" t="str">
        <f>IF(AND(SalesData[[#This Row],[Sales]]&gt;500,SalesData[[#This Row],[Profit]]&gt;0),"Good Order","Review")</f>
        <v>Review</v>
      </c>
      <c r="Y20" s="2"/>
      <c r="Z20" s="2"/>
      <c r="AA20" s="2"/>
      <c r="AB20" s="2"/>
    </row>
    <row r="21" spans="1:28" x14ac:dyDescent="0.3">
      <c r="A21" s="2">
        <v>20</v>
      </c>
      <c r="B21" s="2" t="s">
        <v>103</v>
      </c>
      <c r="C21" s="5">
        <v>41878</v>
      </c>
      <c r="D21" s="2" t="s">
        <v>20</v>
      </c>
      <c r="E21" s="2" t="s">
        <v>104</v>
      </c>
      <c r="F21" s="2" t="s">
        <v>105</v>
      </c>
      <c r="G21" s="2" t="s">
        <v>23</v>
      </c>
      <c r="H21" s="2" t="s">
        <v>24</v>
      </c>
      <c r="I21" s="2" t="s">
        <v>106</v>
      </c>
      <c r="J21" s="2" t="s">
        <v>38</v>
      </c>
      <c r="K21" s="2">
        <v>94109</v>
      </c>
      <c r="L21" s="2" t="s">
        <v>39</v>
      </c>
      <c r="M21" s="2" t="s">
        <v>108</v>
      </c>
      <c r="N21" s="2" t="s">
        <v>61</v>
      </c>
      <c r="O21" s="2" t="s">
        <v>62</v>
      </c>
      <c r="P21" s="4">
        <v>213.48</v>
      </c>
      <c r="Q21" s="2">
        <v>3</v>
      </c>
      <c r="R21" s="3">
        <v>0.2</v>
      </c>
      <c r="S21" s="4">
        <v>16.010999999999999</v>
      </c>
      <c r="T21" s="2" t="str">
        <f>TEXT(SalesData[[#This Row],[Order Date]],"mmm")</f>
        <v>Aug</v>
      </c>
      <c r="U21" s="2">
        <f>YEAR(SalesData[[#This Row],[Order Date]])</f>
        <v>2014</v>
      </c>
      <c r="V21" s="2" t="str">
        <f>IF(SalesData[[#This Row],[Profit]]&gt;0,"Profit","Loss")</f>
        <v>Profit</v>
      </c>
      <c r="W21" s="2" t="str">
        <f>IF(SalesData[[#This Row],[Profit]]&gt;100,"High Profit",
IF(SalesData[[#This Row],[Profit]]&gt;0,"Low Profit","Loss"))</f>
        <v>Low Profit</v>
      </c>
      <c r="X21" s="2" t="str">
        <f>IF(AND(SalesData[[#This Row],[Sales]]&gt;500,SalesData[[#This Row],[Profit]]&gt;0),"Good Order","Review")</f>
        <v>Review</v>
      </c>
      <c r="Y21" s="2"/>
      <c r="Z21" s="2"/>
      <c r="AA21" s="2"/>
      <c r="AB21" s="2"/>
    </row>
    <row r="22" spans="1:28" x14ac:dyDescent="0.3">
      <c r="A22" s="2">
        <v>21</v>
      </c>
      <c r="B22" s="2" t="s">
        <v>103</v>
      </c>
      <c r="C22" s="5">
        <v>41878</v>
      </c>
      <c r="D22" s="2" t="s">
        <v>20</v>
      </c>
      <c r="E22" s="2" t="s">
        <v>104</v>
      </c>
      <c r="F22" s="2" t="s">
        <v>105</v>
      </c>
      <c r="G22" s="2" t="s">
        <v>23</v>
      </c>
      <c r="H22" s="2" t="s">
        <v>24</v>
      </c>
      <c r="I22" s="2" t="s">
        <v>106</v>
      </c>
      <c r="J22" s="2" t="s">
        <v>38</v>
      </c>
      <c r="K22" s="2">
        <v>94109</v>
      </c>
      <c r="L22" s="2" t="s">
        <v>39</v>
      </c>
      <c r="M22" s="2" t="s">
        <v>109</v>
      </c>
      <c r="N22" s="2" t="s">
        <v>41</v>
      </c>
      <c r="O22" s="2" t="s">
        <v>64</v>
      </c>
      <c r="P22" s="4">
        <v>22.72</v>
      </c>
      <c r="Q22" s="2">
        <v>4</v>
      </c>
      <c r="R22" s="3">
        <v>0.2</v>
      </c>
      <c r="S22" s="4">
        <v>7.3840000000000003</v>
      </c>
      <c r="T22" s="2" t="str">
        <f>TEXT(SalesData[[#This Row],[Order Date]],"mmm")</f>
        <v>Aug</v>
      </c>
      <c r="U22" s="2">
        <f>YEAR(SalesData[[#This Row],[Order Date]])</f>
        <v>2014</v>
      </c>
      <c r="V22" s="2" t="str">
        <f>IF(SalesData[[#This Row],[Profit]]&gt;0,"Profit","Loss")</f>
        <v>Profit</v>
      </c>
      <c r="W22" s="2" t="str">
        <f>IF(SalesData[[#This Row],[Profit]]&gt;100,"High Profit",
IF(SalesData[[#This Row],[Profit]]&gt;0,"Low Profit","Loss"))</f>
        <v>Low Profit</v>
      </c>
      <c r="X22" s="2" t="str">
        <f>IF(AND(SalesData[[#This Row],[Sales]]&gt;500,SalesData[[#This Row],[Profit]]&gt;0),"Good Order","Review")</f>
        <v>Review</v>
      </c>
      <c r="Y22" s="2"/>
      <c r="Z22" s="2"/>
      <c r="AA22" s="2"/>
      <c r="AB22" s="2"/>
    </row>
    <row r="23" spans="1:28" x14ac:dyDescent="0.3">
      <c r="A23" s="2">
        <v>22</v>
      </c>
      <c r="B23" s="2" t="s">
        <v>110</v>
      </c>
      <c r="C23" s="5">
        <v>42625</v>
      </c>
      <c r="D23" s="2" t="s">
        <v>44</v>
      </c>
      <c r="E23" s="2" t="s">
        <v>111</v>
      </c>
      <c r="F23" s="2" t="s">
        <v>112</v>
      </c>
      <c r="G23" s="2" t="s">
        <v>36</v>
      </c>
      <c r="H23" s="2" t="s">
        <v>24</v>
      </c>
      <c r="I23" s="2" t="s">
        <v>113</v>
      </c>
      <c r="J23" s="2" t="s">
        <v>114</v>
      </c>
      <c r="K23" s="2">
        <v>68025</v>
      </c>
      <c r="L23" s="2" t="s">
        <v>88</v>
      </c>
      <c r="M23" s="2" t="s">
        <v>115</v>
      </c>
      <c r="N23" s="2" t="s">
        <v>41</v>
      </c>
      <c r="O23" s="2" t="s">
        <v>59</v>
      </c>
      <c r="P23" s="4">
        <v>19.46</v>
      </c>
      <c r="Q23" s="2">
        <v>7</v>
      </c>
      <c r="R23" s="3">
        <v>0</v>
      </c>
      <c r="S23" s="4">
        <v>5.0595999999999997</v>
      </c>
      <c r="T23" s="2" t="str">
        <f>TEXT(SalesData[[#This Row],[Order Date]],"mmm")</f>
        <v>Sep</v>
      </c>
      <c r="U23" s="2">
        <f>YEAR(SalesData[[#This Row],[Order Date]])</f>
        <v>2016</v>
      </c>
      <c r="V23" s="2" t="str">
        <f>IF(SalesData[[#This Row],[Profit]]&gt;0,"Profit","Loss")</f>
        <v>Profit</v>
      </c>
      <c r="W23" s="2" t="str">
        <f>IF(SalesData[[#This Row],[Profit]]&gt;100,"High Profit",
IF(SalesData[[#This Row],[Profit]]&gt;0,"Low Profit","Loss"))</f>
        <v>Low Profit</v>
      </c>
      <c r="X23" s="2" t="str">
        <f>IF(AND(SalesData[[#This Row],[Sales]]&gt;500,SalesData[[#This Row],[Profit]]&gt;0),"Good Order","Review")</f>
        <v>Review</v>
      </c>
      <c r="Y23" s="2"/>
      <c r="Z23" s="2"/>
      <c r="AA23" s="2"/>
      <c r="AB23" s="2"/>
    </row>
    <row r="24" spans="1:28" x14ac:dyDescent="0.3">
      <c r="A24" s="2">
        <v>23</v>
      </c>
      <c r="B24" s="2" t="s">
        <v>110</v>
      </c>
      <c r="C24" s="5">
        <v>42625</v>
      </c>
      <c r="D24" s="2" t="s">
        <v>44</v>
      </c>
      <c r="E24" s="2" t="s">
        <v>111</v>
      </c>
      <c r="F24" s="2" t="s">
        <v>112</v>
      </c>
      <c r="G24" s="2" t="s">
        <v>36</v>
      </c>
      <c r="H24" s="2" t="s">
        <v>24</v>
      </c>
      <c r="I24" s="2" t="s">
        <v>113</v>
      </c>
      <c r="J24" s="2" t="s">
        <v>114</v>
      </c>
      <c r="K24" s="2">
        <v>68025</v>
      </c>
      <c r="L24" s="2" t="s">
        <v>88</v>
      </c>
      <c r="M24" s="2" t="s">
        <v>116</v>
      </c>
      <c r="N24" s="2" t="s">
        <v>41</v>
      </c>
      <c r="O24" s="2" t="s">
        <v>66</v>
      </c>
      <c r="P24" s="4">
        <v>60.34</v>
      </c>
      <c r="Q24" s="2">
        <v>7</v>
      </c>
      <c r="R24" s="3">
        <v>0</v>
      </c>
      <c r="S24" s="4">
        <v>15.6884</v>
      </c>
      <c r="T24" s="2" t="str">
        <f>TEXT(SalesData[[#This Row],[Order Date]],"mmm")</f>
        <v>Sep</v>
      </c>
      <c r="U24" s="2">
        <f>YEAR(SalesData[[#This Row],[Order Date]])</f>
        <v>2016</v>
      </c>
      <c r="V24" s="2" t="str">
        <f>IF(SalesData[[#This Row],[Profit]]&gt;0,"Profit","Loss")</f>
        <v>Profit</v>
      </c>
      <c r="W24" s="2" t="str">
        <f>IF(SalesData[[#This Row],[Profit]]&gt;100,"High Profit",
IF(SalesData[[#This Row],[Profit]]&gt;0,"Low Profit","Loss"))</f>
        <v>Low Profit</v>
      </c>
      <c r="X24" s="2" t="str">
        <f>IF(AND(SalesData[[#This Row],[Sales]]&gt;500,SalesData[[#This Row],[Profit]]&gt;0),"Good Order","Review")</f>
        <v>Review</v>
      </c>
      <c r="Y24" s="2"/>
      <c r="Z24" s="2"/>
      <c r="AA24" s="2"/>
      <c r="AB24" s="2"/>
    </row>
    <row r="25" spans="1:28" x14ac:dyDescent="0.3">
      <c r="A25" s="2">
        <v>24</v>
      </c>
      <c r="B25" s="2" t="s">
        <v>117</v>
      </c>
      <c r="C25" s="5">
        <v>42932</v>
      </c>
      <c r="D25" s="2" t="s">
        <v>20</v>
      </c>
      <c r="E25" s="2" t="s">
        <v>118</v>
      </c>
      <c r="F25" s="2" t="s">
        <v>119</v>
      </c>
      <c r="G25" s="2" t="s">
        <v>23</v>
      </c>
      <c r="H25" s="2" t="s">
        <v>24</v>
      </c>
      <c r="I25" s="2" t="s">
        <v>120</v>
      </c>
      <c r="J25" s="2" t="s">
        <v>121</v>
      </c>
      <c r="K25" s="2">
        <v>19140</v>
      </c>
      <c r="L25" s="2" t="s">
        <v>122</v>
      </c>
      <c r="M25" s="2" t="s">
        <v>123</v>
      </c>
      <c r="N25" s="2" t="s">
        <v>29</v>
      </c>
      <c r="O25" s="2" t="s">
        <v>32</v>
      </c>
      <c r="P25" s="4">
        <v>71.372</v>
      </c>
      <c r="Q25" s="2">
        <v>2</v>
      </c>
      <c r="R25" s="3">
        <v>0.3</v>
      </c>
      <c r="S25" s="4">
        <v>-1.0196000000000001</v>
      </c>
      <c r="T25" s="2" t="str">
        <f>TEXT(SalesData[[#This Row],[Order Date]],"mmm")</f>
        <v>Jul</v>
      </c>
      <c r="U25" s="2">
        <f>YEAR(SalesData[[#This Row],[Order Date]])</f>
        <v>2017</v>
      </c>
      <c r="V25" s="2" t="str">
        <f>IF(SalesData[[#This Row],[Profit]]&gt;0,"Profit","Loss")</f>
        <v>Loss</v>
      </c>
      <c r="W25" s="2" t="str">
        <f>IF(SalesData[[#This Row],[Profit]]&gt;100,"High Profit",
IF(SalesData[[#This Row],[Profit]]&gt;0,"Low Profit","Loss"))</f>
        <v>Loss</v>
      </c>
      <c r="X25" s="2" t="str">
        <f>IF(AND(SalesData[[#This Row],[Sales]]&gt;500,SalesData[[#This Row],[Profit]]&gt;0),"Good Order","Review")</f>
        <v>Review</v>
      </c>
      <c r="Y25" s="2"/>
      <c r="Z25" s="2"/>
      <c r="AA25" s="2"/>
      <c r="AB25" s="2"/>
    </row>
    <row r="26" spans="1:28" x14ac:dyDescent="0.3">
      <c r="A26" s="2">
        <v>25</v>
      </c>
      <c r="B26" s="2" t="s">
        <v>124</v>
      </c>
      <c r="C26" s="5">
        <v>42272</v>
      </c>
      <c r="D26" s="2" t="s">
        <v>44</v>
      </c>
      <c r="E26" s="2" t="s">
        <v>125</v>
      </c>
      <c r="F26" s="2" t="s">
        <v>126</v>
      </c>
      <c r="G26" s="2" t="s">
        <v>23</v>
      </c>
      <c r="H26" s="2" t="s">
        <v>24</v>
      </c>
      <c r="I26" s="2" t="s">
        <v>127</v>
      </c>
      <c r="J26" s="2" t="s">
        <v>101</v>
      </c>
      <c r="K26" s="2">
        <v>84057</v>
      </c>
      <c r="L26" s="2" t="s">
        <v>39</v>
      </c>
      <c r="M26" s="2" t="s">
        <v>49</v>
      </c>
      <c r="N26" s="2" t="s">
        <v>29</v>
      </c>
      <c r="O26" s="2" t="s">
        <v>50</v>
      </c>
      <c r="P26" s="4">
        <v>1044.6300000000001</v>
      </c>
      <c r="Q26" s="2">
        <v>3</v>
      </c>
      <c r="R26" s="3">
        <v>0</v>
      </c>
      <c r="S26" s="4">
        <v>240.26490000000001</v>
      </c>
      <c r="T26" s="2" t="str">
        <f>TEXT(SalesData[[#This Row],[Order Date]],"mmm")</f>
        <v>Sep</v>
      </c>
      <c r="U26" s="2">
        <f>YEAR(SalesData[[#This Row],[Order Date]])</f>
        <v>2015</v>
      </c>
      <c r="V26" s="2" t="str">
        <f>IF(SalesData[[#This Row],[Profit]]&gt;0,"Profit","Loss")</f>
        <v>Profit</v>
      </c>
      <c r="W26" s="2" t="str">
        <f>IF(SalesData[[#This Row],[Profit]]&gt;100,"High Profit",
IF(SalesData[[#This Row],[Profit]]&gt;0,"Low Profit","Loss"))</f>
        <v>High Profit</v>
      </c>
      <c r="X26" s="2" t="str">
        <f>IF(AND(SalesData[[#This Row],[Sales]]&gt;500,SalesData[[#This Row],[Profit]]&gt;0),"Good Order","Review")</f>
        <v>Good Order</v>
      </c>
      <c r="Y26" s="2"/>
      <c r="Z26" s="2"/>
      <c r="AA26" s="2"/>
      <c r="AB26" s="2"/>
    </row>
    <row r="27" spans="1:28" x14ac:dyDescent="0.3">
      <c r="A27" s="2">
        <v>26</v>
      </c>
      <c r="B27" s="2" t="s">
        <v>128</v>
      </c>
      <c r="C27" s="5">
        <v>42385</v>
      </c>
      <c r="D27" s="2" t="s">
        <v>20</v>
      </c>
      <c r="E27" s="2" t="s">
        <v>129</v>
      </c>
      <c r="F27" s="2" t="s">
        <v>130</v>
      </c>
      <c r="G27" s="2" t="s">
        <v>23</v>
      </c>
      <c r="H27" s="2" t="s">
        <v>24</v>
      </c>
      <c r="I27" s="2" t="s">
        <v>37</v>
      </c>
      <c r="J27" s="2" t="s">
        <v>38</v>
      </c>
      <c r="K27" s="2">
        <v>90049</v>
      </c>
      <c r="L27" s="2" t="s">
        <v>39</v>
      </c>
      <c r="M27" s="2" t="s">
        <v>131</v>
      </c>
      <c r="N27" s="2" t="s">
        <v>41</v>
      </c>
      <c r="O27" s="2" t="s">
        <v>64</v>
      </c>
      <c r="P27" s="4">
        <v>11.648</v>
      </c>
      <c r="Q27" s="2">
        <v>2</v>
      </c>
      <c r="R27" s="3">
        <v>0.2</v>
      </c>
      <c r="S27" s="4">
        <v>4.2224000000000004</v>
      </c>
      <c r="T27" s="2" t="str">
        <f>TEXT(SalesData[[#This Row],[Order Date]],"mmm")</f>
        <v>Jan</v>
      </c>
      <c r="U27" s="2">
        <f>YEAR(SalesData[[#This Row],[Order Date]])</f>
        <v>2016</v>
      </c>
      <c r="V27" s="2" t="str">
        <f>IF(SalesData[[#This Row],[Profit]]&gt;0,"Profit","Loss")</f>
        <v>Profit</v>
      </c>
      <c r="W27" s="2" t="str">
        <f>IF(SalesData[[#This Row],[Profit]]&gt;100,"High Profit",
IF(SalesData[[#This Row],[Profit]]&gt;0,"Low Profit","Loss"))</f>
        <v>Low Profit</v>
      </c>
      <c r="X27" s="2" t="str">
        <f>IF(AND(SalesData[[#This Row],[Sales]]&gt;500,SalesData[[#This Row],[Profit]]&gt;0),"Good Order","Review")</f>
        <v>Review</v>
      </c>
      <c r="Y27" s="2"/>
      <c r="Z27" s="2"/>
      <c r="AA27" s="2"/>
      <c r="AB27" s="2"/>
    </row>
    <row r="28" spans="1:28" x14ac:dyDescent="0.3">
      <c r="A28" s="2">
        <v>27</v>
      </c>
      <c r="B28" s="2" t="s">
        <v>128</v>
      </c>
      <c r="C28" s="5">
        <v>42385</v>
      </c>
      <c r="D28" s="2" t="s">
        <v>20</v>
      </c>
      <c r="E28" s="2" t="s">
        <v>129</v>
      </c>
      <c r="F28" s="2" t="s">
        <v>130</v>
      </c>
      <c r="G28" s="2" t="s">
        <v>23</v>
      </c>
      <c r="H28" s="2" t="s">
        <v>24</v>
      </c>
      <c r="I28" s="2" t="s">
        <v>37</v>
      </c>
      <c r="J28" s="2" t="s">
        <v>38</v>
      </c>
      <c r="K28" s="2">
        <v>90049</v>
      </c>
      <c r="L28" s="2" t="s">
        <v>39</v>
      </c>
      <c r="M28" s="2" t="s">
        <v>132</v>
      </c>
      <c r="N28" s="2" t="s">
        <v>61</v>
      </c>
      <c r="O28" s="2" t="s">
        <v>133</v>
      </c>
      <c r="P28" s="4">
        <v>90.57</v>
      </c>
      <c r="Q28" s="2">
        <v>3</v>
      </c>
      <c r="R28" s="3">
        <v>0</v>
      </c>
      <c r="S28" s="4">
        <v>11.774100000000001</v>
      </c>
      <c r="T28" s="2" t="str">
        <f>TEXT(SalesData[[#This Row],[Order Date]],"mmm")</f>
        <v>Jan</v>
      </c>
      <c r="U28" s="2">
        <f>YEAR(SalesData[[#This Row],[Order Date]])</f>
        <v>2016</v>
      </c>
      <c r="V28" s="2" t="str">
        <f>IF(SalesData[[#This Row],[Profit]]&gt;0,"Profit","Loss")</f>
        <v>Profit</v>
      </c>
      <c r="W28" s="2" t="str">
        <f>IF(SalesData[[#This Row],[Profit]]&gt;100,"High Profit",
IF(SalesData[[#This Row],[Profit]]&gt;0,"Low Profit","Loss"))</f>
        <v>Low Profit</v>
      </c>
      <c r="X28" s="2" t="str">
        <f>IF(AND(SalesData[[#This Row],[Sales]]&gt;500,SalesData[[#This Row],[Profit]]&gt;0),"Good Order","Review")</f>
        <v>Review</v>
      </c>
      <c r="Y28" s="2"/>
      <c r="Z28" s="2"/>
      <c r="AA28" s="2"/>
      <c r="AB28" s="2"/>
    </row>
    <row r="29" spans="1:28" x14ac:dyDescent="0.3">
      <c r="A29" s="2">
        <v>28</v>
      </c>
      <c r="B29" s="2" t="s">
        <v>134</v>
      </c>
      <c r="C29" s="5">
        <v>42264</v>
      </c>
      <c r="D29" s="2" t="s">
        <v>44</v>
      </c>
      <c r="E29" s="2" t="s">
        <v>135</v>
      </c>
      <c r="F29" s="2" t="s">
        <v>136</v>
      </c>
      <c r="G29" s="2" t="s">
        <v>23</v>
      </c>
      <c r="H29" s="2" t="s">
        <v>24</v>
      </c>
      <c r="I29" s="2" t="s">
        <v>120</v>
      </c>
      <c r="J29" s="2" t="s">
        <v>121</v>
      </c>
      <c r="K29" s="2">
        <v>19140</v>
      </c>
      <c r="L29" s="2" t="s">
        <v>122</v>
      </c>
      <c r="M29" s="2" t="s">
        <v>137</v>
      </c>
      <c r="N29" s="2" t="s">
        <v>29</v>
      </c>
      <c r="O29" s="2" t="s">
        <v>30</v>
      </c>
      <c r="P29" s="4">
        <v>3083.43</v>
      </c>
      <c r="Q29" s="2">
        <v>7</v>
      </c>
      <c r="R29" s="3">
        <v>0.5</v>
      </c>
      <c r="S29" s="4">
        <v>-1665.0522000000001</v>
      </c>
      <c r="T29" s="2" t="str">
        <f>TEXT(SalesData[[#This Row],[Order Date]],"mmm")</f>
        <v>Sep</v>
      </c>
      <c r="U29" s="2">
        <f>YEAR(SalesData[[#This Row],[Order Date]])</f>
        <v>2015</v>
      </c>
      <c r="V29" s="2" t="str">
        <f>IF(SalesData[[#This Row],[Profit]]&gt;0,"Profit","Loss")</f>
        <v>Loss</v>
      </c>
      <c r="W29" s="2" t="str">
        <f>IF(SalesData[[#This Row],[Profit]]&gt;100,"High Profit",
IF(SalesData[[#This Row],[Profit]]&gt;0,"Low Profit","Loss"))</f>
        <v>Loss</v>
      </c>
      <c r="X29" s="2" t="str">
        <f>IF(AND(SalesData[[#This Row],[Sales]]&gt;500,SalesData[[#This Row],[Profit]]&gt;0),"Good Order","Review")</f>
        <v>Review</v>
      </c>
      <c r="Y29" s="2"/>
      <c r="Z29" s="2"/>
      <c r="AA29" s="2"/>
      <c r="AB29" s="2"/>
    </row>
    <row r="30" spans="1:28" x14ac:dyDescent="0.3">
      <c r="A30" s="2">
        <v>29</v>
      </c>
      <c r="B30" s="2" t="s">
        <v>134</v>
      </c>
      <c r="C30" s="5">
        <v>42264</v>
      </c>
      <c r="D30" s="2" t="s">
        <v>44</v>
      </c>
      <c r="E30" s="2" t="s">
        <v>135</v>
      </c>
      <c r="F30" s="2" t="s">
        <v>136</v>
      </c>
      <c r="G30" s="2" t="s">
        <v>23</v>
      </c>
      <c r="H30" s="2" t="s">
        <v>24</v>
      </c>
      <c r="I30" s="2" t="s">
        <v>120</v>
      </c>
      <c r="J30" s="2" t="s">
        <v>121</v>
      </c>
      <c r="K30" s="2">
        <v>19140</v>
      </c>
      <c r="L30" s="2" t="s">
        <v>122</v>
      </c>
      <c r="M30" s="2" t="s">
        <v>138</v>
      </c>
      <c r="N30" s="2" t="s">
        <v>41</v>
      </c>
      <c r="O30" s="2" t="s">
        <v>64</v>
      </c>
      <c r="P30" s="4">
        <v>9.6180000000000003</v>
      </c>
      <c r="Q30" s="2">
        <v>2</v>
      </c>
      <c r="R30" s="3">
        <v>0.7</v>
      </c>
      <c r="S30" s="4">
        <v>-7.0532000000000004</v>
      </c>
      <c r="T30" s="2" t="str">
        <f>TEXT(SalesData[[#This Row],[Order Date]],"mmm")</f>
        <v>Sep</v>
      </c>
      <c r="U30" s="2">
        <f>YEAR(SalesData[[#This Row],[Order Date]])</f>
        <v>2015</v>
      </c>
      <c r="V30" s="2" t="str">
        <f>IF(SalesData[[#This Row],[Profit]]&gt;0,"Profit","Loss")</f>
        <v>Loss</v>
      </c>
      <c r="W30" s="2" t="str">
        <f>IF(SalesData[[#This Row],[Profit]]&gt;100,"High Profit",
IF(SalesData[[#This Row],[Profit]]&gt;0,"Low Profit","Loss"))</f>
        <v>Loss</v>
      </c>
      <c r="X30" s="2" t="str">
        <f>IF(AND(SalesData[[#This Row],[Sales]]&gt;500,SalesData[[#This Row],[Profit]]&gt;0),"Good Order","Review")</f>
        <v>Review</v>
      </c>
      <c r="Y30" s="2"/>
      <c r="Z30" s="2"/>
      <c r="AA30" s="2"/>
      <c r="AB30" s="2"/>
    </row>
    <row r="31" spans="1:28" x14ac:dyDescent="0.3">
      <c r="A31" s="2">
        <v>30</v>
      </c>
      <c r="B31" s="2" t="s">
        <v>134</v>
      </c>
      <c r="C31" s="5">
        <v>42264</v>
      </c>
      <c r="D31" s="2" t="s">
        <v>44</v>
      </c>
      <c r="E31" s="2" t="s">
        <v>135</v>
      </c>
      <c r="F31" s="2" t="s">
        <v>136</v>
      </c>
      <c r="G31" s="2" t="s">
        <v>23</v>
      </c>
      <c r="H31" s="2" t="s">
        <v>24</v>
      </c>
      <c r="I31" s="2" t="s">
        <v>120</v>
      </c>
      <c r="J31" s="2" t="s">
        <v>121</v>
      </c>
      <c r="K31" s="2">
        <v>19140</v>
      </c>
      <c r="L31" s="2" t="s">
        <v>122</v>
      </c>
      <c r="M31" s="2" t="s">
        <v>139</v>
      </c>
      <c r="N31" s="2" t="s">
        <v>29</v>
      </c>
      <c r="O31" s="2" t="s">
        <v>57</v>
      </c>
      <c r="P31" s="4">
        <v>124.2</v>
      </c>
      <c r="Q31" s="2">
        <v>3</v>
      </c>
      <c r="R31" s="3">
        <v>0.2</v>
      </c>
      <c r="S31" s="4">
        <v>15.525</v>
      </c>
      <c r="T31" s="2" t="str">
        <f>TEXT(SalesData[[#This Row],[Order Date]],"mmm")</f>
        <v>Sep</v>
      </c>
      <c r="U31" s="2">
        <f>YEAR(SalesData[[#This Row],[Order Date]])</f>
        <v>2015</v>
      </c>
      <c r="V31" s="2" t="str">
        <f>IF(SalesData[[#This Row],[Profit]]&gt;0,"Profit","Loss")</f>
        <v>Profit</v>
      </c>
      <c r="W31" s="2" t="str">
        <f>IF(SalesData[[#This Row],[Profit]]&gt;100,"High Profit",
IF(SalesData[[#This Row],[Profit]]&gt;0,"Low Profit","Loss"))</f>
        <v>Low Profit</v>
      </c>
      <c r="X31" s="2" t="str">
        <f>IF(AND(SalesData[[#This Row],[Sales]]&gt;500,SalesData[[#This Row],[Profit]]&gt;0),"Good Order","Review")</f>
        <v>Review</v>
      </c>
      <c r="Y31" s="2"/>
      <c r="Z31" s="2"/>
      <c r="AA31" s="2"/>
      <c r="AB31" s="2"/>
    </row>
    <row r="32" spans="1:28" x14ac:dyDescent="0.3">
      <c r="A32" s="2">
        <v>31</v>
      </c>
      <c r="B32" s="2" t="s">
        <v>134</v>
      </c>
      <c r="C32" s="5">
        <v>42264</v>
      </c>
      <c r="D32" s="2" t="s">
        <v>44</v>
      </c>
      <c r="E32" s="2" t="s">
        <v>135</v>
      </c>
      <c r="F32" s="2" t="s">
        <v>136</v>
      </c>
      <c r="G32" s="2" t="s">
        <v>23</v>
      </c>
      <c r="H32" s="2" t="s">
        <v>24</v>
      </c>
      <c r="I32" s="2" t="s">
        <v>120</v>
      </c>
      <c r="J32" s="2" t="s">
        <v>121</v>
      </c>
      <c r="K32" s="2">
        <v>19140</v>
      </c>
      <c r="L32" s="2" t="s">
        <v>122</v>
      </c>
      <c r="M32" s="2" t="s">
        <v>140</v>
      </c>
      <c r="N32" s="2" t="s">
        <v>41</v>
      </c>
      <c r="O32" s="2" t="s">
        <v>141</v>
      </c>
      <c r="P32" s="4">
        <v>3.2639999999999998</v>
      </c>
      <c r="Q32" s="2">
        <v>2</v>
      </c>
      <c r="R32" s="3">
        <v>0.2</v>
      </c>
      <c r="S32" s="4">
        <v>1.1015999999999999</v>
      </c>
      <c r="T32" s="2" t="str">
        <f>TEXT(SalesData[[#This Row],[Order Date]],"mmm")</f>
        <v>Sep</v>
      </c>
      <c r="U32" s="2">
        <f>YEAR(SalesData[[#This Row],[Order Date]])</f>
        <v>2015</v>
      </c>
      <c r="V32" s="2" t="str">
        <f>IF(SalesData[[#This Row],[Profit]]&gt;0,"Profit","Loss")</f>
        <v>Profit</v>
      </c>
      <c r="W32" s="2" t="str">
        <f>IF(SalesData[[#This Row],[Profit]]&gt;100,"High Profit",
IF(SalesData[[#This Row],[Profit]]&gt;0,"Low Profit","Loss"))</f>
        <v>Low Profit</v>
      </c>
      <c r="X32" s="2" t="str">
        <f>IF(AND(SalesData[[#This Row],[Sales]]&gt;500,SalesData[[#This Row],[Profit]]&gt;0),"Good Order","Review")</f>
        <v>Review</v>
      </c>
      <c r="Y32" s="2"/>
      <c r="Z32" s="2"/>
      <c r="AA32" s="2"/>
      <c r="AB32" s="2"/>
    </row>
    <row r="33" spans="1:28" x14ac:dyDescent="0.3">
      <c r="A33" s="2">
        <v>32</v>
      </c>
      <c r="B33" s="2" t="s">
        <v>134</v>
      </c>
      <c r="C33" s="5">
        <v>42264</v>
      </c>
      <c r="D33" s="2" t="s">
        <v>44</v>
      </c>
      <c r="E33" s="2" t="s">
        <v>135</v>
      </c>
      <c r="F33" s="2" t="s">
        <v>136</v>
      </c>
      <c r="G33" s="2" t="s">
        <v>23</v>
      </c>
      <c r="H33" s="2" t="s">
        <v>24</v>
      </c>
      <c r="I33" s="2" t="s">
        <v>120</v>
      </c>
      <c r="J33" s="2" t="s">
        <v>121</v>
      </c>
      <c r="K33" s="2">
        <v>19140</v>
      </c>
      <c r="L33" s="2" t="s">
        <v>122</v>
      </c>
      <c r="M33" s="2" t="s">
        <v>142</v>
      </c>
      <c r="N33" s="2" t="s">
        <v>41</v>
      </c>
      <c r="O33" s="2" t="s">
        <v>59</v>
      </c>
      <c r="P33" s="4">
        <v>86.304000000000002</v>
      </c>
      <c r="Q33" s="2">
        <v>6</v>
      </c>
      <c r="R33" s="3">
        <v>0.2</v>
      </c>
      <c r="S33" s="4">
        <v>9.7091999999999992</v>
      </c>
      <c r="T33" s="2" t="str">
        <f>TEXT(SalesData[[#This Row],[Order Date]],"mmm")</f>
        <v>Sep</v>
      </c>
      <c r="U33" s="2">
        <f>YEAR(SalesData[[#This Row],[Order Date]])</f>
        <v>2015</v>
      </c>
      <c r="V33" s="2" t="str">
        <f>IF(SalesData[[#This Row],[Profit]]&gt;0,"Profit","Loss")</f>
        <v>Profit</v>
      </c>
      <c r="W33" s="2" t="str">
        <f>IF(SalesData[[#This Row],[Profit]]&gt;100,"High Profit",
IF(SalesData[[#This Row],[Profit]]&gt;0,"Low Profit","Loss"))</f>
        <v>Low Profit</v>
      </c>
      <c r="X33" s="2" t="str">
        <f>IF(AND(SalesData[[#This Row],[Sales]]&gt;500,SalesData[[#This Row],[Profit]]&gt;0),"Good Order","Review")</f>
        <v>Review</v>
      </c>
      <c r="Y33" s="2"/>
      <c r="Z33" s="2"/>
      <c r="AA33" s="2"/>
      <c r="AB33" s="2"/>
    </row>
    <row r="34" spans="1:28" x14ac:dyDescent="0.3">
      <c r="A34" s="2">
        <v>33</v>
      </c>
      <c r="B34" s="2" t="s">
        <v>134</v>
      </c>
      <c r="C34" s="5">
        <v>42264</v>
      </c>
      <c r="D34" s="2" t="s">
        <v>44</v>
      </c>
      <c r="E34" s="2" t="s">
        <v>135</v>
      </c>
      <c r="F34" s="2" t="s">
        <v>136</v>
      </c>
      <c r="G34" s="2" t="s">
        <v>23</v>
      </c>
      <c r="H34" s="2" t="s">
        <v>24</v>
      </c>
      <c r="I34" s="2" t="s">
        <v>120</v>
      </c>
      <c r="J34" s="2" t="s">
        <v>121</v>
      </c>
      <c r="K34" s="2">
        <v>19140</v>
      </c>
      <c r="L34" s="2" t="s">
        <v>122</v>
      </c>
      <c r="M34" s="2" t="s">
        <v>143</v>
      </c>
      <c r="N34" s="2" t="s">
        <v>41</v>
      </c>
      <c r="O34" s="2" t="s">
        <v>64</v>
      </c>
      <c r="P34" s="4">
        <v>6.8579999999999997</v>
      </c>
      <c r="Q34" s="2">
        <v>6</v>
      </c>
      <c r="R34" s="3">
        <v>0.7</v>
      </c>
      <c r="S34" s="4">
        <v>-5.7149999999999999</v>
      </c>
      <c r="T34" s="2" t="str">
        <f>TEXT(SalesData[[#This Row],[Order Date]],"mmm")</f>
        <v>Sep</v>
      </c>
      <c r="U34" s="2">
        <f>YEAR(SalesData[[#This Row],[Order Date]])</f>
        <v>2015</v>
      </c>
      <c r="V34" s="2" t="str">
        <f>IF(SalesData[[#This Row],[Profit]]&gt;0,"Profit","Loss")</f>
        <v>Loss</v>
      </c>
      <c r="W34" s="2" t="str">
        <f>IF(SalesData[[#This Row],[Profit]]&gt;100,"High Profit",
IF(SalesData[[#This Row],[Profit]]&gt;0,"Low Profit","Loss"))</f>
        <v>Loss</v>
      </c>
      <c r="X34" s="2" t="str">
        <f>IF(AND(SalesData[[#This Row],[Sales]]&gt;500,SalesData[[#This Row],[Profit]]&gt;0),"Good Order","Review")</f>
        <v>Review</v>
      </c>
      <c r="Y34" s="2"/>
      <c r="Z34" s="2"/>
      <c r="AA34" s="2"/>
      <c r="AB34" s="2"/>
    </row>
    <row r="35" spans="1:28" x14ac:dyDescent="0.3">
      <c r="A35" s="2">
        <v>34</v>
      </c>
      <c r="B35" s="2" t="s">
        <v>134</v>
      </c>
      <c r="C35" s="5">
        <v>42264</v>
      </c>
      <c r="D35" s="2" t="s">
        <v>44</v>
      </c>
      <c r="E35" s="2" t="s">
        <v>135</v>
      </c>
      <c r="F35" s="2" t="s">
        <v>136</v>
      </c>
      <c r="G35" s="2" t="s">
        <v>23</v>
      </c>
      <c r="H35" s="2" t="s">
        <v>24</v>
      </c>
      <c r="I35" s="2" t="s">
        <v>120</v>
      </c>
      <c r="J35" s="2" t="s">
        <v>121</v>
      </c>
      <c r="K35" s="2">
        <v>19140</v>
      </c>
      <c r="L35" s="2" t="s">
        <v>122</v>
      </c>
      <c r="M35" s="2" t="s">
        <v>144</v>
      </c>
      <c r="N35" s="2" t="s">
        <v>41</v>
      </c>
      <c r="O35" s="2" t="s">
        <v>59</v>
      </c>
      <c r="P35" s="4">
        <v>15.76</v>
      </c>
      <c r="Q35" s="2">
        <v>2</v>
      </c>
      <c r="R35" s="3">
        <v>0.2</v>
      </c>
      <c r="S35" s="4">
        <v>3.5459999999999998</v>
      </c>
      <c r="T35" s="2" t="str">
        <f>TEXT(SalesData[[#This Row],[Order Date]],"mmm")</f>
        <v>Sep</v>
      </c>
      <c r="U35" s="2">
        <f>YEAR(SalesData[[#This Row],[Order Date]])</f>
        <v>2015</v>
      </c>
      <c r="V35" s="2" t="str">
        <f>IF(SalesData[[#This Row],[Profit]]&gt;0,"Profit","Loss")</f>
        <v>Profit</v>
      </c>
      <c r="W35" s="2" t="str">
        <f>IF(SalesData[[#This Row],[Profit]]&gt;100,"High Profit",
IF(SalesData[[#This Row],[Profit]]&gt;0,"Low Profit","Loss"))</f>
        <v>Low Profit</v>
      </c>
      <c r="X35" s="2" t="str">
        <f>IF(AND(SalesData[[#This Row],[Sales]]&gt;500,SalesData[[#This Row],[Profit]]&gt;0),"Good Order","Review")</f>
        <v>Review</v>
      </c>
      <c r="Y35" s="2"/>
      <c r="Z35" s="2"/>
      <c r="AA35" s="2"/>
      <c r="AB35" s="2"/>
    </row>
    <row r="36" spans="1:28" x14ac:dyDescent="0.3">
      <c r="A36" s="2">
        <v>35</v>
      </c>
      <c r="B36" s="2" t="s">
        <v>145</v>
      </c>
      <c r="C36" s="5">
        <v>43027</v>
      </c>
      <c r="D36" s="2" t="s">
        <v>20</v>
      </c>
      <c r="E36" s="2" t="s">
        <v>146</v>
      </c>
      <c r="F36" s="2" t="s">
        <v>147</v>
      </c>
      <c r="G36" s="2" t="s">
        <v>85</v>
      </c>
      <c r="H36" s="2" t="s">
        <v>24</v>
      </c>
      <c r="I36" s="2" t="s">
        <v>148</v>
      </c>
      <c r="J36" s="2" t="s">
        <v>87</v>
      </c>
      <c r="K36" s="2">
        <v>77095</v>
      </c>
      <c r="L36" s="2" t="s">
        <v>88</v>
      </c>
      <c r="M36" s="2" t="s">
        <v>149</v>
      </c>
      <c r="N36" s="2" t="s">
        <v>41</v>
      </c>
      <c r="O36" s="2" t="s">
        <v>75</v>
      </c>
      <c r="P36" s="4">
        <v>29.472000000000001</v>
      </c>
      <c r="Q36" s="2">
        <v>3</v>
      </c>
      <c r="R36" s="3">
        <v>0.2</v>
      </c>
      <c r="S36" s="4">
        <v>9.9467999999999996</v>
      </c>
      <c r="T36" s="2" t="str">
        <f>TEXT(SalesData[[#This Row],[Order Date]],"mmm")</f>
        <v>Oct</v>
      </c>
      <c r="U36" s="2">
        <f>YEAR(SalesData[[#This Row],[Order Date]])</f>
        <v>2017</v>
      </c>
      <c r="V36" s="2" t="str">
        <f>IF(SalesData[[#This Row],[Profit]]&gt;0,"Profit","Loss")</f>
        <v>Profit</v>
      </c>
      <c r="W36" s="2" t="str">
        <f>IF(SalesData[[#This Row],[Profit]]&gt;100,"High Profit",
IF(SalesData[[#This Row],[Profit]]&gt;0,"Low Profit","Loss"))</f>
        <v>Low Profit</v>
      </c>
      <c r="X36" s="2" t="str">
        <f>IF(AND(SalesData[[#This Row],[Sales]]&gt;500,SalesData[[#This Row],[Profit]]&gt;0),"Good Order","Review")</f>
        <v>Review</v>
      </c>
      <c r="Y36" s="2"/>
      <c r="Z36" s="2"/>
      <c r="AA36" s="2"/>
      <c r="AB36" s="2"/>
    </row>
    <row r="37" spans="1:28" x14ac:dyDescent="0.3">
      <c r="A37" s="2">
        <v>36</v>
      </c>
      <c r="B37" s="2" t="s">
        <v>150</v>
      </c>
      <c r="C37" s="5">
        <v>42594</v>
      </c>
      <c r="D37" s="2" t="s">
        <v>151</v>
      </c>
      <c r="E37" s="2" t="s">
        <v>152</v>
      </c>
      <c r="F37" s="2" t="s">
        <v>153</v>
      </c>
      <c r="G37" s="2" t="s">
        <v>36</v>
      </c>
      <c r="H37" s="2" t="s">
        <v>24</v>
      </c>
      <c r="I37" s="2" t="s">
        <v>154</v>
      </c>
      <c r="J37" s="2" t="s">
        <v>87</v>
      </c>
      <c r="K37" s="2">
        <v>75080</v>
      </c>
      <c r="L37" s="2" t="s">
        <v>88</v>
      </c>
      <c r="M37" s="2" t="s">
        <v>155</v>
      </c>
      <c r="N37" s="2" t="s">
        <v>61</v>
      </c>
      <c r="O37" s="2" t="s">
        <v>62</v>
      </c>
      <c r="P37" s="4">
        <v>1097.5440000000001</v>
      </c>
      <c r="Q37" s="2">
        <v>7</v>
      </c>
      <c r="R37" s="3">
        <v>0.2</v>
      </c>
      <c r="S37" s="4">
        <v>123.47369999999999</v>
      </c>
      <c r="T37" s="2" t="str">
        <f>TEXT(SalesData[[#This Row],[Order Date]],"mmm")</f>
        <v>Aug</v>
      </c>
      <c r="U37" s="2">
        <f>YEAR(SalesData[[#This Row],[Order Date]])</f>
        <v>2016</v>
      </c>
      <c r="V37" s="2" t="str">
        <f>IF(SalesData[[#This Row],[Profit]]&gt;0,"Profit","Loss")</f>
        <v>Profit</v>
      </c>
      <c r="W37" s="2" t="str">
        <f>IF(SalesData[[#This Row],[Profit]]&gt;100,"High Profit",
IF(SalesData[[#This Row],[Profit]]&gt;0,"Low Profit","Loss"))</f>
        <v>High Profit</v>
      </c>
      <c r="X37" s="2" t="str">
        <f>IF(AND(SalesData[[#This Row],[Sales]]&gt;500,SalesData[[#This Row],[Profit]]&gt;0),"Good Order","Review")</f>
        <v>Good Order</v>
      </c>
      <c r="Y37" s="2"/>
      <c r="Z37" s="2"/>
      <c r="AA37" s="2"/>
      <c r="AB37" s="2"/>
    </row>
    <row r="38" spans="1:28" x14ac:dyDescent="0.3">
      <c r="A38" s="2">
        <v>37</v>
      </c>
      <c r="B38" s="2" t="s">
        <v>150</v>
      </c>
      <c r="C38" s="5">
        <v>42594</v>
      </c>
      <c r="D38" s="2" t="s">
        <v>151</v>
      </c>
      <c r="E38" s="2" t="s">
        <v>152</v>
      </c>
      <c r="F38" s="2" t="s">
        <v>153</v>
      </c>
      <c r="G38" s="2" t="s">
        <v>36</v>
      </c>
      <c r="H38" s="2" t="s">
        <v>24</v>
      </c>
      <c r="I38" s="2" t="s">
        <v>154</v>
      </c>
      <c r="J38" s="2" t="s">
        <v>87</v>
      </c>
      <c r="K38" s="2">
        <v>75080</v>
      </c>
      <c r="L38" s="2" t="s">
        <v>88</v>
      </c>
      <c r="M38" s="2" t="s">
        <v>156</v>
      </c>
      <c r="N38" s="2" t="s">
        <v>29</v>
      </c>
      <c r="O38" s="2" t="s">
        <v>57</v>
      </c>
      <c r="P38" s="4">
        <v>190.92</v>
      </c>
      <c r="Q38" s="2">
        <v>5</v>
      </c>
      <c r="R38" s="3">
        <v>0.6</v>
      </c>
      <c r="S38" s="4">
        <v>-147.96299999999999</v>
      </c>
      <c r="T38" s="2" t="str">
        <f>TEXT(SalesData[[#This Row],[Order Date]],"mmm")</f>
        <v>Aug</v>
      </c>
      <c r="U38" s="2">
        <f>YEAR(SalesData[[#This Row],[Order Date]])</f>
        <v>2016</v>
      </c>
      <c r="V38" s="2" t="str">
        <f>IF(SalesData[[#This Row],[Profit]]&gt;0,"Profit","Loss")</f>
        <v>Loss</v>
      </c>
      <c r="W38" s="2" t="str">
        <f>IF(SalesData[[#This Row],[Profit]]&gt;100,"High Profit",
IF(SalesData[[#This Row],[Profit]]&gt;0,"Low Profit","Loss"))</f>
        <v>Loss</v>
      </c>
      <c r="X38" s="2" t="str">
        <f>IF(AND(SalesData[[#This Row],[Sales]]&gt;500,SalesData[[#This Row],[Profit]]&gt;0),"Good Order","Review")</f>
        <v>Review</v>
      </c>
      <c r="Y38" s="2"/>
      <c r="Z38" s="2"/>
      <c r="AA38" s="2"/>
      <c r="AB38" s="2"/>
    </row>
    <row r="39" spans="1:28" x14ac:dyDescent="0.3">
      <c r="A39" s="2">
        <v>38</v>
      </c>
      <c r="B39" s="2" t="s">
        <v>157</v>
      </c>
      <c r="C39" s="5">
        <v>42365</v>
      </c>
      <c r="D39" s="2" t="s">
        <v>44</v>
      </c>
      <c r="E39" s="2" t="s">
        <v>158</v>
      </c>
      <c r="F39" s="2" t="s">
        <v>159</v>
      </c>
      <c r="G39" s="2" t="s">
        <v>85</v>
      </c>
      <c r="H39" s="2" t="s">
        <v>24</v>
      </c>
      <c r="I39" s="2" t="s">
        <v>148</v>
      </c>
      <c r="J39" s="2" t="s">
        <v>87</v>
      </c>
      <c r="K39" s="2">
        <v>77041</v>
      </c>
      <c r="L39" s="2" t="s">
        <v>88</v>
      </c>
      <c r="M39" s="2" t="s">
        <v>160</v>
      </c>
      <c r="N39" s="2" t="s">
        <v>41</v>
      </c>
      <c r="O39" s="2" t="s">
        <v>141</v>
      </c>
      <c r="P39" s="4">
        <v>113.328</v>
      </c>
      <c r="Q39" s="2">
        <v>9</v>
      </c>
      <c r="R39" s="3">
        <v>0.2</v>
      </c>
      <c r="S39" s="4">
        <v>35.414999999999999</v>
      </c>
      <c r="T39" s="2" t="str">
        <f>TEXT(SalesData[[#This Row],[Order Date]],"mmm")</f>
        <v>Dec</v>
      </c>
      <c r="U39" s="2">
        <f>YEAR(SalesData[[#This Row],[Order Date]])</f>
        <v>2015</v>
      </c>
      <c r="V39" s="2" t="str">
        <f>IF(SalesData[[#This Row],[Profit]]&gt;0,"Profit","Loss")</f>
        <v>Profit</v>
      </c>
      <c r="W39" s="2" t="str">
        <f>IF(SalesData[[#This Row],[Profit]]&gt;100,"High Profit",
IF(SalesData[[#This Row],[Profit]]&gt;0,"Low Profit","Loss"))</f>
        <v>Low Profit</v>
      </c>
      <c r="X39" s="2" t="str">
        <f>IF(AND(SalesData[[#This Row],[Sales]]&gt;500,SalesData[[#This Row],[Profit]]&gt;0),"Good Order","Review")</f>
        <v>Review</v>
      </c>
      <c r="Y39" s="2"/>
      <c r="Z39" s="2"/>
      <c r="AA39" s="2"/>
      <c r="AB39" s="2"/>
    </row>
    <row r="40" spans="1:28" x14ac:dyDescent="0.3">
      <c r="A40" s="2">
        <v>39</v>
      </c>
      <c r="B40" s="2" t="s">
        <v>157</v>
      </c>
      <c r="C40" s="5">
        <v>42365</v>
      </c>
      <c r="D40" s="2" t="s">
        <v>44</v>
      </c>
      <c r="E40" s="2" t="s">
        <v>158</v>
      </c>
      <c r="F40" s="2" t="s">
        <v>159</v>
      </c>
      <c r="G40" s="2" t="s">
        <v>85</v>
      </c>
      <c r="H40" s="2" t="s">
        <v>24</v>
      </c>
      <c r="I40" s="2" t="s">
        <v>148</v>
      </c>
      <c r="J40" s="2" t="s">
        <v>87</v>
      </c>
      <c r="K40" s="2">
        <v>77041</v>
      </c>
      <c r="L40" s="2" t="s">
        <v>88</v>
      </c>
      <c r="M40" s="2" t="s">
        <v>161</v>
      </c>
      <c r="N40" s="2" t="s">
        <v>29</v>
      </c>
      <c r="O40" s="2" t="s">
        <v>30</v>
      </c>
      <c r="P40" s="4">
        <v>532.39919999999995</v>
      </c>
      <c r="Q40" s="2">
        <v>3</v>
      </c>
      <c r="R40" s="3">
        <v>0.32</v>
      </c>
      <c r="S40" s="4">
        <v>-46.976399999999998</v>
      </c>
      <c r="T40" s="2" t="str">
        <f>TEXT(SalesData[[#This Row],[Order Date]],"mmm")</f>
        <v>Dec</v>
      </c>
      <c r="U40" s="2">
        <f>YEAR(SalesData[[#This Row],[Order Date]])</f>
        <v>2015</v>
      </c>
      <c r="V40" s="2" t="str">
        <f>IF(SalesData[[#This Row],[Profit]]&gt;0,"Profit","Loss")</f>
        <v>Loss</v>
      </c>
      <c r="W40" s="2" t="str">
        <f>IF(SalesData[[#This Row],[Profit]]&gt;100,"High Profit",
IF(SalesData[[#This Row],[Profit]]&gt;0,"Low Profit","Loss"))</f>
        <v>Loss</v>
      </c>
      <c r="X40" s="2" t="str">
        <f>IF(AND(SalesData[[#This Row],[Sales]]&gt;500,SalesData[[#This Row],[Profit]]&gt;0),"Good Order","Review")</f>
        <v>Review</v>
      </c>
      <c r="Y40" s="2"/>
      <c r="Z40" s="2"/>
      <c r="AA40" s="2"/>
      <c r="AB40" s="2"/>
    </row>
    <row r="41" spans="1:28" x14ac:dyDescent="0.3">
      <c r="A41" s="2">
        <v>40</v>
      </c>
      <c r="B41" s="2" t="s">
        <v>157</v>
      </c>
      <c r="C41" s="5">
        <v>42365</v>
      </c>
      <c r="D41" s="2" t="s">
        <v>44</v>
      </c>
      <c r="E41" s="2" t="s">
        <v>158</v>
      </c>
      <c r="F41" s="2" t="s">
        <v>159</v>
      </c>
      <c r="G41" s="2" t="s">
        <v>85</v>
      </c>
      <c r="H41" s="2" t="s">
        <v>24</v>
      </c>
      <c r="I41" s="2" t="s">
        <v>148</v>
      </c>
      <c r="J41" s="2" t="s">
        <v>87</v>
      </c>
      <c r="K41" s="2">
        <v>77041</v>
      </c>
      <c r="L41" s="2" t="s">
        <v>88</v>
      </c>
      <c r="M41" s="2" t="s">
        <v>162</v>
      </c>
      <c r="N41" s="2" t="s">
        <v>29</v>
      </c>
      <c r="O41" s="2" t="s">
        <v>32</v>
      </c>
      <c r="P41" s="4">
        <v>212.05799999999999</v>
      </c>
      <c r="Q41" s="2">
        <v>3</v>
      </c>
      <c r="R41" s="3">
        <v>0.3</v>
      </c>
      <c r="S41" s="4">
        <v>-15.147</v>
      </c>
      <c r="T41" s="2" t="str">
        <f>TEXT(SalesData[[#This Row],[Order Date]],"mmm")</f>
        <v>Dec</v>
      </c>
      <c r="U41" s="2">
        <f>YEAR(SalesData[[#This Row],[Order Date]])</f>
        <v>2015</v>
      </c>
      <c r="V41" s="2" t="str">
        <f>IF(SalesData[[#This Row],[Profit]]&gt;0,"Profit","Loss")</f>
        <v>Loss</v>
      </c>
      <c r="W41" s="2" t="str">
        <f>IF(SalesData[[#This Row],[Profit]]&gt;100,"High Profit",
IF(SalesData[[#This Row],[Profit]]&gt;0,"Low Profit","Loss"))</f>
        <v>Loss</v>
      </c>
      <c r="X41" s="2" t="str">
        <f>IF(AND(SalesData[[#This Row],[Sales]]&gt;500,SalesData[[#This Row],[Profit]]&gt;0),"Good Order","Review")</f>
        <v>Review</v>
      </c>
      <c r="Y41" s="2"/>
      <c r="Z41" s="2"/>
      <c r="AA41" s="2"/>
      <c r="AB41" s="2"/>
    </row>
    <row r="42" spans="1:28" x14ac:dyDescent="0.3">
      <c r="A42" s="2">
        <v>41</v>
      </c>
      <c r="B42" s="2" t="s">
        <v>157</v>
      </c>
      <c r="C42" s="5">
        <v>42365</v>
      </c>
      <c r="D42" s="2" t="s">
        <v>44</v>
      </c>
      <c r="E42" s="2" t="s">
        <v>158</v>
      </c>
      <c r="F42" s="2" t="s">
        <v>159</v>
      </c>
      <c r="G42" s="2" t="s">
        <v>85</v>
      </c>
      <c r="H42" s="2" t="s">
        <v>24</v>
      </c>
      <c r="I42" s="2" t="s">
        <v>148</v>
      </c>
      <c r="J42" s="2" t="s">
        <v>87</v>
      </c>
      <c r="K42" s="2">
        <v>77041</v>
      </c>
      <c r="L42" s="2" t="s">
        <v>88</v>
      </c>
      <c r="M42" s="2" t="s">
        <v>163</v>
      </c>
      <c r="N42" s="2" t="s">
        <v>61</v>
      </c>
      <c r="O42" s="2" t="s">
        <v>62</v>
      </c>
      <c r="P42" s="4">
        <v>371.16800000000001</v>
      </c>
      <c r="Q42" s="2">
        <v>4</v>
      </c>
      <c r="R42" s="3">
        <v>0.2</v>
      </c>
      <c r="S42" s="4">
        <v>41.756399999999999</v>
      </c>
      <c r="T42" s="2" t="str">
        <f>TEXT(SalesData[[#This Row],[Order Date]],"mmm")</f>
        <v>Dec</v>
      </c>
      <c r="U42" s="2">
        <f>YEAR(SalesData[[#This Row],[Order Date]])</f>
        <v>2015</v>
      </c>
      <c r="V42" s="2" t="str">
        <f>IF(SalesData[[#This Row],[Profit]]&gt;0,"Profit","Loss")</f>
        <v>Profit</v>
      </c>
      <c r="W42" s="2" t="str">
        <f>IF(SalesData[[#This Row],[Profit]]&gt;100,"High Profit",
IF(SalesData[[#This Row],[Profit]]&gt;0,"Low Profit","Loss"))</f>
        <v>Low Profit</v>
      </c>
      <c r="X42" s="2" t="str">
        <f>IF(AND(SalesData[[#This Row],[Sales]]&gt;500,SalesData[[#This Row],[Profit]]&gt;0),"Good Order","Review")</f>
        <v>Review</v>
      </c>
      <c r="Y42" s="2"/>
      <c r="Z42" s="2"/>
      <c r="AA42" s="2"/>
      <c r="AB42" s="2"/>
    </row>
    <row r="43" spans="1:28" x14ac:dyDescent="0.3">
      <c r="A43" s="2">
        <v>42</v>
      </c>
      <c r="B43" s="2" t="s">
        <v>164</v>
      </c>
      <c r="C43" s="5">
        <v>43017</v>
      </c>
      <c r="D43" s="2" t="s">
        <v>44</v>
      </c>
      <c r="E43" s="2" t="s">
        <v>165</v>
      </c>
      <c r="F43" s="2" t="s">
        <v>166</v>
      </c>
      <c r="G43" s="2" t="s">
        <v>36</v>
      </c>
      <c r="H43" s="2" t="s">
        <v>24</v>
      </c>
      <c r="I43" s="2" t="s">
        <v>167</v>
      </c>
      <c r="J43" s="2" t="s">
        <v>168</v>
      </c>
      <c r="K43" s="2">
        <v>60540</v>
      </c>
      <c r="L43" s="2" t="s">
        <v>88</v>
      </c>
      <c r="M43" s="2" t="s">
        <v>169</v>
      </c>
      <c r="N43" s="2" t="s">
        <v>61</v>
      </c>
      <c r="O43" s="2" t="s">
        <v>62</v>
      </c>
      <c r="P43" s="4">
        <v>147.16800000000001</v>
      </c>
      <c r="Q43" s="2">
        <v>4</v>
      </c>
      <c r="R43" s="3">
        <v>0.2</v>
      </c>
      <c r="S43" s="4">
        <v>16.5564</v>
      </c>
      <c r="T43" s="2" t="str">
        <f>TEXT(SalesData[[#This Row],[Order Date]],"mmm")</f>
        <v>Oct</v>
      </c>
      <c r="U43" s="2">
        <f>YEAR(SalesData[[#This Row],[Order Date]])</f>
        <v>2017</v>
      </c>
      <c r="V43" s="2" t="str">
        <f>IF(SalesData[[#This Row],[Profit]]&gt;0,"Profit","Loss")</f>
        <v>Profit</v>
      </c>
      <c r="W43" s="2" t="str">
        <f>IF(SalesData[[#This Row],[Profit]]&gt;100,"High Profit",
IF(SalesData[[#This Row],[Profit]]&gt;0,"Low Profit","Loss"))</f>
        <v>Low Profit</v>
      </c>
      <c r="X43" s="2" t="str">
        <f>IF(AND(SalesData[[#This Row],[Sales]]&gt;500,SalesData[[#This Row],[Profit]]&gt;0),"Good Order","Review")</f>
        <v>Review</v>
      </c>
      <c r="Y43" s="2"/>
      <c r="Z43" s="2"/>
      <c r="AA43" s="2"/>
      <c r="AB43" s="2"/>
    </row>
    <row r="44" spans="1:28" x14ac:dyDescent="0.3">
      <c r="A44" s="2">
        <v>43</v>
      </c>
      <c r="B44" s="2" t="s">
        <v>170</v>
      </c>
      <c r="C44" s="5">
        <v>42568</v>
      </c>
      <c r="D44" s="2" t="s">
        <v>44</v>
      </c>
      <c r="E44" s="2" t="s">
        <v>171</v>
      </c>
      <c r="F44" s="2" t="s">
        <v>172</v>
      </c>
      <c r="G44" s="2" t="s">
        <v>36</v>
      </c>
      <c r="H44" s="2" t="s">
        <v>24</v>
      </c>
      <c r="I44" s="2" t="s">
        <v>37</v>
      </c>
      <c r="J44" s="2" t="s">
        <v>38</v>
      </c>
      <c r="K44" s="2">
        <v>90049</v>
      </c>
      <c r="L44" s="2" t="s">
        <v>39</v>
      </c>
      <c r="M44" s="2" t="s">
        <v>173</v>
      </c>
      <c r="N44" s="2" t="s">
        <v>41</v>
      </c>
      <c r="O44" s="2" t="s">
        <v>52</v>
      </c>
      <c r="P44" s="4">
        <v>77.88</v>
      </c>
      <c r="Q44" s="2">
        <v>2</v>
      </c>
      <c r="R44" s="3">
        <v>0</v>
      </c>
      <c r="S44" s="4">
        <v>3.8940000000000001</v>
      </c>
      <c r="T44" s="2" t="str">
        <f>TEXT(SalesData[[#This Row],[Order Date]],"mmm")</f>
        <v>Jul</v>
      </c>
      <c r="U44" s="2">
        <f>YEAR(SalesData[[#This Row],[Order Date]])</f>
        <v>2016</v>
      </c>
      <c r="V44" s="2" t="str">
        <f>IF(SalesData[[#This Row],[Profit]]&gt;0,"Profit","Loss")</f>
        <v>Profit</v>
      </c>
      <c r="W44" s="2" t="str">
        <f>IF(SalesData[[#This Row],[Profit]]&gt;100,"High Profit",
IF(SalesData[[#This Row],[Profit]]&gt;0,"Low Profit","Loss"))</f>
        <v>Low Profit</v>
      </c>
      <c r="X44" s="2" t="str">
        <f>IF(AND(SalesData[[#This Row],[Sales]]&gt;500,SalesData[[#This Row],[Profit]]&gt;0),"Good Order","Review")</f>
        <v>Review</v>
      </c>
      <c r="Y44" s="2"/>
      <c r="Z44" s="2"/>
      <c r="AA44" s="2"/>
      <c r="AB44" s="2"/>
    </row>
    <row r="45" spans="1:28" x14ac:dyDescent="0.3">
      <c r="A45" s="2">
        <v>44</v>
      </c>
      <c r="B45" s="2" t="s">
        <v>174</v>
      </c>
      <c r="C45" s="5">
        <v>42997</v>
      </c>
      <c r="D45" s="2" t="s">
        <v>44</v>
      </c>
      <c r="E45" s="2" t="s">
        <v>175</v>
      </c>
      <c r="F45" s="2" t="s">
        <v>176</v>
      </c>
      <c r="G45" s="2" t="s">
        <v>36</v>
      </c>
      <c r="H45" s="2" t="s">
        <v>24</v>
      </c>
      <c r="I45" s="2" t="s">
        <v>177</v>
      </c>
      <c r="J45" s="2" t="s">
        <v>48</v>
      </c>
      <c r="K45" s="2">
        <v>32935</v>
      </c>
      <c r="L45" s="2" t="s">
        <v>27</v>
      </c>
      <c r="M45" s="2" t="s">
        <v>178</v>
      </c>
      <c r="N45" s="2" t="s">
        <v>41</v>
      </c>
      <c r="O45" s="2" t="s">
        <v>52</v>
      </c>
      <c r="P45" s="4">
        <v>95.616</v>
      </c>
      <c r="Q45" s="2">
        <v>2</v>
      </c>
      <c r="R45" s="3">
        <v>0.2</v>
      </c>
      <c r="S45" s="4">
        <v>9.5616000000000003</v>
      </c>
      <c r="T45" s="2" t="str">
        <f>TEXT(SalesData[[#This Row],[Order Date]],"mmm")</f>
        <v>Sep</v>
      </c>
      <c r="U45" s="2">
        <f>YEAR(SalesData[[#This Row],[Order Date]])</f>
        <v>2017</v>
      </c>
      <c r="V45" s="2" t="str">
        <f>IF(SalesData[[#This Row],[Profit]]&gt;0,"Profit","Loss")</f>
        <v>Profit</v>
      </c>
      <c r="W45" s="2" t="str">
        <f>IF(SalesData[[#This Row],[Profit]]&gt;100,"High Profit",
IF(SalesData[[#This Row],[Profit]]&gt;0,"Low Profit","Loss"))</f>
        <v>Low Profit</v>
      </c>
      <c r="X45" s="2" t="str">
        <f>IF(AND(SalesData[[#This Row],[Sales]]&gt;500,SalesData[[#This Row],[Profit]]&gt;0),"Good Order","Review")</f>
        <v>Review</v>
      </c>
      <c r="Y45" s="2"/>
      <c r="Z45" s="2"/>
      <c r="AA45" s="2"/>
      <c r="AB45" s="2"/>
    </row>
    <row r="46" spans="1:28" x14ac:dyDescent="0.3">
      <c r="A46" s="2">
        <v>45</v>
      </c>
      <c r="B46" s="2" t="s">
        <v>179</v>
      </c>
      <c r="C46" s="5">
        <v>42677</v>
      </c>
      <c r="D46" s="2" t="s">
        <v>151</v>
      </c>
      <c r="E46" s="2" t="s">
        <v>180</v>
      </c>
      <c r="F46" s="2" t="s">
        <v>181</v>
      </c>
      <c r="G46" s="2" t="s">
        <v>36</v>
      </c>
      <c r="H46" s="2" t="s">
        <v>24</v>
      </c>
      <c r="I46" s="2" t="s">
        <v>182</v>
      </c>
      <c r="J46" s="2" t="s">
        <v>183</v>
      </c>
      <c r="K46" s="2">
        <v>55122</v>
      </c>
      <c r="L46" s="2" t="s">
        <v>88</v>
      </c>
      <c r="M46" s="2" t="s">
        <v>184</v>
      </c>
      <c r="N46" s="2" t="s">
        <v>61</v>
      </c>
      <c r="O46" s="2" t="s">
        <v>133</v>
      </c>
      <c r="P46" s="4">
        <v>45.98</v>
      </c>
      <c r="Q46" s="2">
        <v>2</v>
      </c>
      <c r="R46" s="3">
        <v>0</v>
      </c>
      <c r="S46" s="4">
        <v>19.7714</v>
      </c>
      <c r="T46" s="2" t="str">
        <f>TEXT(SalesData[[#This Row],[Order Date]],"mmm")</f>
        <v>Nov</v>
      </c>
      <c r="U46" s="2">
        <f>YEAR(SalesData[[#This Row],[Order Date]])</f>
        <v>2016</v>
      </c>
      <c r="V46" s="2" t="str">
        <f>IF(SalesData[[#This Row],[Profit]]&gt;0,"Profit","Loss")</f>
        <v>Profit</v>
      </c>
      <c r="W46" s="2" t="str">
        <f>IF(SalesData[[#This Row],[Profit]]&gt;100,"High Profit",
IF(SalesData[[#This Row],[Profit]]&gt;0,"Low Profit","Loss"))</f>
        <v>Low Profit</v>
      </c>
      <c r="X46" s="2" t="str">
        <f>IF(AND(SalesData[[#This Row],[Sales]]&gt;500,SalesData[[#This Row],[Profit]]&gt;0),"Good Order","Review")</f>
        <v>Review</v>
      </c>
      <c r="Y46" s="2"/>
      <c r="Z46" s="2"/>
      <c r="AA46" s="2"/>
      <c r="AB46" s="2"/>
    </row>
    <row r="47" spans="1:28" x14ac:dyDescent="0.3">
      <c r="A47" s="2">
        <v>46</v>
      </c>
      <c r="B47" s="2" t="s">
        <v>179</v>
      </c>
      <c r="C47" s="5">
        <v>42677</v>
      </c>
      <c r="D47" s="2" t="s">
        <v>151</v>
      </c>
      <c r="E47" s="2" t="s">
        <v>180</v>
      </c>
      <c r="F47" s="2" t="s">
        <v>181</v>
      </c>
      <c r="G47" s="2" t="s">
        <v>36</v>
      </c>
      <c r="H47" s="2" t="s">
        <v>24</v>
      </c>
      <c r="I47" s="2" t="s">
        <v>182</v>
      </c>
      <c r="J47" s="2" t="s">
        <v>183</v>
      </c>
      <c r="K47" s="2">
        <v>55122</v>
      </c>
      <c r="L47" s="2" t="s">
        <v>88</v>
      </c>
      <c r="M47" s="2" t="s">
        <v>185</v>
      </c>
      <c r="N47" s="2" t="s">
        <v>41</v>
      </c>
      <c r="O47" s="2" t="s">
        <v>64</v>
      </c>
      <c r="P47" s="4">
        <v>17.46</v>
      </c>
      <c r="Q47" s="2">
        <v>2</v>
      </c>
      <c r="R47" s="3">
        <v>0</v>
      </c>
      <c r="S47" s="4">
        <v>8.2062000000000008</v>
      </c>
      <c r="T47" s="2" t="str">
        <f>TEXT(SalesData[[#This Row],[Order Date]],"mmm")</f>
        <v>Nov</v>
      </c>
      <c r="U47" s="2">
        <f>YEAR(SalesData[[#This Row],[Order Date]])</f>
        <v>2016</v>
      </c>
      <c r="V47" s="2" t="str">
        <f>IF(SalesData[[#This Row],[Profit]]&gt;0,"Profit","Loss")</f>
        <v>Profit</v>
      </c>
      <c r="W47" s="2" t="str">
        <f>IF(SalesData[[#This Row],[Profit]]&gt;100,"High Profit",
IF(SalesData[[#This Row],[Profit]]&gt;0,"Low Profit","Loss"))</f>
        <v>Low Profit</v>
      </c>
      <c r="X47" s="2" t="str">
        <f>IF(AND(SalesData[[#This Row],[Sales]]&gt;500,SalesData[[#This Row],[Profit]]&gt;0),"Good Order","Review")</f>
        <v>Review</v>
      </c>
      <c r="Y47" s="2"/>
      <c r="Z47" s="2"/>
      <c r="AA47" s="2"/>
      <c r="AB47" s="2"/>
    </row>
    <row r="48" spans="1:28" x14ac:dyDescent="0.3">
      <c r="A48" s="2">
        <v>47</v>
      </c>
      <c r="B48" s="2" t="s">
        <v>186</v>
      </c>
      <c r="C48" s="5">
        <v>41932</v>
      </c>
      <c r="D48" s="2" t="s">
        <v>20</v>
      </c>
      <c r="E48" s="2" t="s">
        <v>187</v>
      </c>
      <c r="F48" s="2" t="s">
        <v>188</v>
      </c>
      <c r="G48" s="2" t="s">
        <v>23</v>
      </c>
      <c r="H48" s="2" t="s">
        <v>24</v>
      </c>
      <c r="I48" s="2" t="s">
        <v>189</v>
      </c>
      <c r="J48" s="2" t="s">
        <v>190</v>
      </c>
      <c r="K48" s="2">
        <v>48185</v>
      </c>
      <c r="L48" s="2" t="s">
        <v>88</v>
      </c>
      <c r="M48" s="2" t="s">
        <v>191</v>
      </c>
      <c r="N48" s="2" t="s">
        <v>41</v>
      </c>
      <c r="O48" s="2" t="s">
        <v>52</v>
      </c>
      <c r="P48" s="4">
        <v>211.96</v>
      </c>
      <c r="Q48" s="2">
        <v>4</v>
      </c>
      <c r="R48" s="3">
        <v>0</v>
      </c>
      <c r="S48" s="4">
        <v>8.4784000000000006</v>
      </c>
      <c r="T48" s="2" t="str">
        <f>TEXT(SalesData[[#This Row],[Order Date]],"mmm")</f>
        <v>Oct</v>
      </c>
      <c r="U48" s="2">
        <f>YEAR(SalesData[[#This Row],[Order Date]])</f>
        <v>2014</v>
      </c>
      <c r="V48" s="2" t="str">
        <f>IF(SalesData[[#This Row],[Profit]]&gt;0,"Profit","Loss")</f>
        <v>Profit</v>
      </c>
      <c r="W48" s="2" t="str">
        <f>IF(SalesData[[#This Row],[Profit]]&gt;100,"High Profit",
IF(SalesData[[#This Row],[Profit]]&gt;0,"Low Profit","Loss"))</f>
        <v>Low Profit</v>
      </c>
      <c r="X48" s="2" t="str">
        <f>IF(AND(SalesData[[#This Row],[Sales]]&gt;500,SalesData[[#This Row],[Profit]]&gt;0),"Good Order","Review")</f>
        <v>Review</v>
      </c>
      <c r="Y48" s="2"/>
      <c r="Z48" s="2"/>
      <c r="AA48" s="2"/>
      <c r="AB48" s="2"/>
    </row>
    <row r="49" spans="1:28" x14ac:dyDescent="0.3">
      <c r="A49" s="2">
        <v>48</v>
      </c>
      <c r="B49" s="2" t="s">
        <v>192</v>
      </c>
      <c r="C49" s="5">
        <v>42541</v>
      </c>
      <c r="D49" s="2" t="s">
        <v>44</v>
      </c>
      <c r="E49" s="2" t="s">
        <v>193</v>
      </c>
      <c r="F49" s="2" t="s">
        <v>194</v>
      </c>
      <c r="G49" s="2" t="s">
        <v>23</v>
      </c>
      <c r="H49" s="2" t="s">
        <v>24</v>
      </c>
      <c r="I49" s="2" t="s">
        <v>195</v>
      </c>
      <c r="J49" s="2" t="s">
        <v>196</v>
      </c>
      <c r="K49" s="2">
        <v>19901</v>
      </c>
      <c r="L49" s="2" t="s">
        <v>122</v>
      </c>
      <c r="M49" s="2" t="s">
        <v>197</v>
      </c>
      <c r="N49" s="2" t="s">
        <v>61</v>
      </c>
      <c r="O49" s="2" t="s">
        <v>133</v>
      </c>
      <c r="P49" s="4">
        <v>45</v>
      </c>
      <c r="Q49" s="2">
        <v>3</v>
      </c>
      <c r="R49" s="3">
        <v>0</v>
      </c>
      <c r="S49" s="4">
        <v>4.95</v>
      </c>
      <c r="T49" s="2" t="str">
        <f>TEXT(SalesData[[#This Row],[Order Date]],"mmm")</f>
        <v>Jun</v>
      </c>
      <c r="U49" s="2">
        <f>YEAR(SalesData[[#This Row],[Order Date]])</f>
        <v>2016</v>
      </c>
      <c r="V49" s="2" t="str">
        <f>IF(SalesData[[#This Row],[Profit]]&gt;0,"Profit","Loss")</f>
        <v>Profit</v>
      </c>
      <c r="W49" s="2" t="str">
        <f>IF(SalesData[[#This Row],[Profit]]&gt;100,"High Profit",
IF(SalesData[[#This Row],[Profit]]&gt;0,"Low Profit","Loss"))</f>
        <v>Low Profit</v>
      </c>
      <c r="X49" s="2" t="str">
        <f>IF(AND(SalesData[[#This Row],[Sales]]&gt;500,SalesData[[#This Row],[Profit]]&gt;0),"Good Order","Review")</f>
        <v>Review</v>
      </c>
      <c r="Y49" s="2"/>
      <c r="Z49" s="2"/>
      <c r="AA49" s="2"/>
      <c r="AB49" s="2"/>
    </row>
    <row r="50" spans="1:28" x14ac:dyDescent="0.3">
      <c r="A50" s="2">
        <v>49</v>
      </c>
      <c r="B50" s="2" t="s">
        <v>192</v>
      </c>
      <c r="C50" s="5">
        <v>42541</v>
      </c>
      <c r="D50" s="2" t="s">
        <v>44</v>
      </c>
      <c r="E50" s="2" t="s">
        <v>193</v>
      </c>
      <c r="F50" s="2" t="s">
        <v>194</v>
      </c>
      <c r="G50" s="2" t="s">
        <v>23</v>
      </c>
      <c r="H50" s="2" t="s">
        <v>24</v>
      </c>
      <c r="I50" s="2" t="s">
        <v>195</v>
      </c>
      <c r="J50" s="2" t="s">
        <v>196</v>
      </c>
      <c r="K50" s="2">
        <v>19901</v>
      </c>
      <c r="L50" s="2" t="s">
        <v>122</v>
      </c>
      <c r="M50" s="2" t="s">
        <v>198</v>
      </c>
      <c r="N50" s="2" t="s">
        <v>61</v>
      </c>
      <c r="O50" s="2" t="s">
        <v>62</v>
      </c>
      <c r="P50" s="4">
        <v>21.8</v>
      </c>
      <c r="Q50" s="2">
        <v>2</v>
      </c>
      <c r="R50" s="3">
        <v>0</v>
      </c>
      <c r="S50" s="4">
        <v>6.1040000000000001</v>
      </c>
      <c r="T50" s="2" t="str">
        <f>TEXT(SalesData[[#This Row],[Order Date]],"mmm")</f>
        <v>Jun</v>
      </c>
      <c r="U50" s="2">
        <f>YEAR(SalesData[[#This Row],[Order Date]])</f>
        <v>2016</v>
      </c>
      <c r="V50" s="2" t="str">
        <f>IF(SalesData[[#This Row],[Profit]]&gt;0,"Profit","Loss")</f>
        <v>Profit</v>
      </c>
      <c r="W50" s="2" t="str">
        <f>IF(SalesData[[#This Row],[Profit]]&gt;100,"High Profit",
IF(SalesData[[#This Row],[Profit]]&gt;0,"Low Profit","Loss"))</f>
        <v>Low Profit</v>
      </c>
      <c r="X50" s="2" t="str">
        <f>IF(AND(SalesData[[#This Row],[Sales]]&gt;500,SalesData[[#This Row],[Profit]]&gt;0),"Good Order","Review")</f>
        <v>Review</v>
      </c>
      <c r="Y50" s="2"/>
      <c r="Z50" s="2"/>
      <c r="AA50" s="2"/>
      <c r="AB50" s="2"/>
    </row>
    <row r="51" spans="1:28" x14ac:dyDescent="0.3">
      <c r="A51" s="2">
        <v>50</v>
      </c>
      <c r="B51" s="2" t="s">
        <v>199</v>
      </c>
      <c r="C51" s="5">
        <v>42112</v>
      </c>
      <c r="D51" s="2" t="s">
        <v>44</v>
      </c>
      <c r="E51" s="2" t="s">
        <v>200</v>
      </c>
      <c r="F51" s="2" t="s">
        <v>201</v>
      </c>
      <c r="G51" s="2" t="s">
        <v>23</v>
      </c>
      <c r="H51" s="2" t="s">
        <v>24</v>
      </c>
      <c r="I51" s="2" t="s">
        <v>202</v>
      </c>
      <c r="J51" s="2" t="s">
        <v>203</v>
      </c>
      <c r="K51" s="2">
        <v>47150</v>
      </c>
      <c r="L51" s="2" t="s">
        <v>88</v>
      </c>
      <c r="M51" s="2" t="s">
        <v>204</v>
      </c>
      <c r="N51" s="2" t="s">
        <v>41</v>
      </c>
      <c r="O51" s="2" t="s">
        <v>64</v>
      </c>
      <c r="P51" s="4">
        <v>38.22</v>
      </c>
      <c r="Q51" s="2">
        <v>6</v>
      </c>
      <c r="R51" s="3">
        <v>0</v>
      </c>
      <c r="S51" s="4">
        <v>17.9634</v>
      </c>
      <c r="T51" s="2" t="str">
        <f>TEXT(SalesData[[#This Row],[Order Date]],"mmm")</f>
        <v>Apr</v>
      </c>
      <c r="U51" s="2">
        <f>YEAR(SalesData[[#This Row],[Order Date]])</f>
        <v>2015</v>
      </c>
      <c r="V51" s="2" t="str">
        <f>IF(SalesData[[#This Row],[Profit]]&gt;0,"Profit","Loss")</f>
        <v>Profit</v>
      </c>
      <c r="W51" s="2" t="str">
        <f>IF(SalesData[[#This Row],[Profit]]&gt;100,"High Profit",
IF(SalesData[[#This Row],[Profit]]&gt;0,"Low Profit","Loss"))</f>
        <v>Low Profit</v>
      </c>
      <c r="X51" s="2" t="str">
        <f>IF(AND(SalesData[[#This Row],[Sales]]&gt;500,SalesData[[#This Row],[Profit]]&gt;0),"Good Order","Review")</f>
        <v>Review</v>
      </c>
      <c r="Y51" s="2"/>
      <c r="Z51" s="2"/>
      <c r="AA51" s="2"/>
      <c r="AB51" s="2"/>
    </row>
    <row r="52" spans="1:28" x14ac:dyDescent="0.3">
      <c r="A52" s="2">
        <v>51</v>
      </c>
      <c r="B52" s="2" t="s">
        <v>199</v>
      </c>
      <c r="C52" s="5">
        <v>42112</v>
      </c>
      <c r="D52" s="2" t="s">
        <v>44</v>
      </c>
      <c r="E52" s="2" t="s">
        <v>200</v>
      </c>
      <c r="F52" s="2" t="s">
        <v>201</v>
      </c>
      <c r="G52" s="2" t="s">
        <v>23</v>
      </c>
      <c r="H52" s="2" t="s">
        <v>24</v>
      </c>
      <c r="I52" s="2" t="s">
        <v>202</v>
      </c>
      <c r="J52" s="2" t="s">
        <v>203</v>
      </c>
      <c r="K52" s="2">
        <v>47150</v>
      </c>
      <c r="L52" s="2" t="s">
        <v>88</v>
      </c>
      <c r="M52" s="2" t="s">
        <v>205</v>
      </c>
      <c r="N52" s="2" t="s">
        <v>41</v>
      </c>
      <c r="O52" s="2" t="s">
        <v>42</v>
      </c>
      <c r="P52" s="4">
        <v>75.180000000000007</v>
      </c>
      <c r="Q52" s="2">
        <v>6</v>
      </c>
      <c r="R52" s="3">
        <v>0</v>
      </c>
      <c r="S52" s="4">
        <v>35.334600000000002</v>
      </c>
      <c r="T52" s="2" t="str">
        <f>TEXT(SalesData[[#This Row],[Order Date]],"mmm")</f>
        <v>Apr</v>
      </c>
      <c r="U52" s="2">
        <f>YEAR(SalesData[[#This Row],[Order Date]])</f>
        <v>2015</v>
      </c>
      <c r="V52" s="2" t="str">
        <f>IF(SalesData[[#This Row],[Profit]]&gt;0,"Profit","Loss")</f>
        <v>Profit</v>
      </c>
      <c r="W52" s="2" t="str">
        <f>IF(SalesData[[#This Row],[Profit]]&gt;100,"High Profit",
IF(SalesData[[#This Row],[Profit]]&gt;0,"Low Profit","Loss"))</f>
        <v>Low Profit</v>
      </c>
      <c r="X52" s="2" t="str">
        <f>IF(AND(SalesData[[#This Row],[Sales]]&gt;500,SalesData[[#This Row],[Profit]]&gt;0),"Good Order","Review")</f>
        <v>Review</v>
      </c>
      <c r="Y52" s="2"/>
      <c r="Z52" s="2"/>
      <c r="AA52" s="2"/>
      <c r="AB52" s="2"/>
    </row>
    <row r="53" spans="1:28" x14ac:dyDescent="0.3">
      <c r="A53" s="2">
        <v>52</v>
      </c>
      <c r="B53" s="2" t="s">
        <v>199</v>
      </c>
      <c r="C53" s="5">
        <v>42112</v>
      </c>
      <c r="D53" s="2" t="s">
        <v>44</v>
      </c>
      <c r="E53" s="2" t="s">
        <v>200</v>
      </c>
      <c r="F53" s="2" t="s">
        <v>201</v>
      </c>
      <c r="G53" s="2" t="s">
        <v>23</v>
      </c>
      <c r="H53" s="2" t="s">
        <v>24</v>
      </c>
      <c r="I53" s="2" t="s">
        <v>202</v>
      </c>
      <c r="J53" s="2" t="s">
        <v>203</v>
      </c>
      <c r="K53" s="2">
        <v>47150</v>
      </c>
      <c r="L53" s="2" t="s">
        <v>88</v>
      </c>
      <c r="M53" s="2" t="s">
        <v>206</v>
      </c>
      <c r="N53" s="2" t="s">
        <v>29</v>
      </c>
      <c r="O53" s="2" t="s">
        <v>57</v>
      </c>
      <c r="P53" s="4">
        <v>6.16</v>
      </c>
      <c r="Q53" s="2">
        <v>2</v>
      </c>
      <c r="R53" s="3">
        <v>0</v>
      </c>
      <c r="S53" s="4">
        <v>2.9567999999999999</v>
      </c>
      <c r="T53" s="2" t="str">
        <f>TEXT(SalesData[[#This Row],[Order Date]],"mmm")</f>
        <v>Apr</v>
      </c>
      <c r="U53" s="2">
        <f>YEAR(SalesData[[#This Row],[Order Date]])</f>
        <v>2015</v>
      </c>
      <c r="V53" s="2" t="str">
        <f>IF(SalesData[[#This Row],[Profit]]&gt;0,"Profit","Loss")</f>
        <v>Profit</v>
      </c>
      <c r="W53" s="2" t="str">
        <f>IF(SalesData[[#This Row],[Profit]]&gt;100,"High Profit",
IF(SalesData[[#This Row],[Profit]]&gt;0,"Low Profit","Loss"))</f>
        <v>Low Profit</v>
      </c>
      <c r="X53" s="2" t="str">
        <f>IF(AND(SalesData[[#This Row],[Sales]]&gt;500,SalesData[[#This Row],[Profit]]&gt;0),"Good Order","Review")</f>
        <v>Review</v>
      </c>
      <c r="Y53" s="2"/>
      <c r="Z53" s="2"/>
      <c r="AA53" s="2"/>
      <c r="AB53" s="2"/>
    </row>
    <row r="54" spans="1:28" x14ac:dyDescent="0.3">
      <c r="A54" s="2">
        <v>53</v>
      </c>
      <c r="B54" s="2" t="s">
        <v>199</v>
      </c>
      <c r="C54" s="5">
        <v>42112</v>
      </c>
      <c r="D54" s="2" t="s">
        <v>44</v>
      </c>
      <c r="E54" s="2" t="s">
        <v>200</v>
      </c>
      <c r="F54" s="2" t="s">
        <v>201</v>
      </c>
      <c r="G54" s="2" t="s">
        <v>23</v>
      </c>
      <c r="H54" s="2" t="s">
        <v>24</v>
      </c>
      <c r="I54" s="2" t="s">
        <v>202</v>
      </c>
      <c r="J54" s="2" t="s">
        <v>203</v>
      </c>
      <c r="K54" s="2">
        <v>47150</v>
      </c>
      <c r="L54" s="2" t="s">
        <v>88</v>
      </c>
      <c r="M54" s="2" t="s">
        <v>207</v>
      </c>
      <c r="N54" s="2" t="s">
        <v>29</v>
      </c>
      <c r="O54" s="2" t="s">
        <v>32</v>
      </c>
      <c r="P54" s="4">
        <v>89.99</v>
      </c>
      <c r="Q54" s="2">
        <v>1</v>
      </c>
      <c r="R54" s="3">
        <v>0</v>
      </c>
      <c r="S54" s="4">
        <v>17.098099999999999</v>
      </c>
      <c r="T54" s="2" t="str">
        <f>TEXT(SalesData[[#This Row],[Order Date]],"mmm")</f>
        <v>Apr</v>
      </c>
      <c r="U54" s="2">
        <f>YEAR(SalesData[[#This Row],[Order Date]])</f>
        <v>2015</v>
      </c>
      <c r="V54" s="2" t="str">
        <f>IF(SalesData[[#This Row],[Profit]]&gt;0,"Profit","Loss")</f>
        <v>Profit</v>
      </c>
      <c r="W54" s="2" t="str">
        <f>IF(SalesData[[#This Row],[Profit]]&gt;100,"High Profit",
IF(SalesData[[#This Row],[Profit]]&gt;0,"Low Profit","Loss"))</f>
        <v>Low Profit</v>
      </c>
      <c r="X54" s="2" t="str">
        <f>IF(AND(SalesData[[#This Row],[Sales]]&gt;500,SalesData[[#This Row],[Profit]]&gt;0),"Good Order","Review")</f>
        <v>Review</v>
      </c>
      <c r="Y54" s="2"/>
      <c r="Z54" s="2"/>
      <c r="AA54" s="2"/>
      <c r="AB54" s="2"/>
    </row>
    <row r="55" spans="1:28" x14ac:dyDescent="0.3">
      <c r="A55" s="2">
        <v>54</v>
      </c>
      <c r="B55" s="2" t="s">
        <v>208</v>
      </c>
      <c r="C55" s="5">
        <v>42686</v>
      </c>
      <c r="D55" s="2" t="s">
        <v>44</v>
      </c>
      <c r="E55" s="2" t="s">
        <v>209</v>
      </c>
      <c r="F55" s="2" t="s">
        <v>210</v>
      </c>
      <c r="G55" s="2" t="s">
        <v>36</v>
      </c>
      <c r="H55" s="2" t="s">
        <v>24</v>
      </c>
      <c r="I55" s="2" t="s">
        <v>211</v>
      </c>
      <c r="J55" s="2" t="s">
        <v>212</v>
      </c>
      <c r="K55" s="2">
        <v>10024</v>
      </c>
      <c r="L55" s="2" t="s">
        <v>122</v>
      </c>
      <c r="M55" s="2" t="s">
        <v>213</v>
      </c>
      <c r="N55" s="2" t="s">
        <v>41</v>
      </c>
      <c r="O55" s="2" t="s">
        <v>214</v>
      </c>
      <c r="P55" s="4">
        <v>15.26</v>
      </c>
      <c r="Q55" s="2">
        <v>7</v>
      </c>
      <c r="R55" s="3">
        <v>0</v>
      </c>
      <c r="S55" s="4">
        <v>6.2565999999999997</v>
      </c>
      <c r="T55" s="2" t="str">
        <f>TEXT(SalesData[[#This Row],[Order Date]],"mmm")</f>
        <v>Nov</v>
      </c>
      <c r="U55" s="2">
        <f>YEAR(SalesData[[#This Row],[Order Date]])</f>
        <v>2016</v>
      </c>
      <c r="V55" s="2" t="str">
        <f>IF(SalesData[[#This Row],[Profit]]&gt;0,"Profit","Loss")</f>
        <v>Profit</v>
      </c>
      <c r="W55" s="2" t="str">
        <f>IF(SalesData[[#This Row],[Profit]]&gt;100,"High Profit",
IF(SalesData[[#This Row],[Profit]]&gt;0,"Low Profit","Loss"))</f>
        <v>Low Profit</v>
      </c>
      <c r="X55" s="2" t="str">
        <f>IF(AND(SalesData[[#This Row],[Sales]]&gt;500,SalesData[[#This Row],[Profit]]&gt;0),"Good Order","Review")</f>
        <v>Review</v>
      </c>
      <c r="Y55" s="2"/>
      <c r="Z55" s="2"/>
      <c r="AA55" s="2"/>
      <c r="AB55" s="2"/>
    </row>
    <row r="56" spans="1:28" x14ac:dyDescent="0.3">
      <c r="A56" s="2">
        <v>55</v>
      </c>
      <c r="B56" s="2" t="s">
        <v>208</v>
      </c>
      <c r="C56" s="5">
        <v>42686</v>
      </c>
      <c r="D56" s="2" t="s">
        <v>44</v>
      </c>
      <c r="E56" s="2" t="s">
        <v>209</v>
      </c>
      <c r="F56" s="2" t="s">
        <v>210</v>
      </c>
      <c r="G56" s="2" t="s">
        <v>36</v>
      </c>
      <c r="H56" s="2" t="s">
        <v>24</v>
      </c>
      <c r="I56" s="2" t="s">
        <v>211</v>
      </c>
      <c r="J56" s="2" t="s">
        <v>212</v>
      </c>
      <c r="K56" s="2">
        <v>10024</v>
      </c>
      <c r="L56" s="2" t="s">
        <v>122</v>
      </c>
      <c r="M56" s="2" t="s">
        <v>215</v>
      </c>
      <c r="N56" s="2" t="s">
        <v>61</v>
      </c>
      <c r="O56" s="2" t="s">
        <v>62</v>
      </c>
      <c r="P56" s="4">
        <v>1029.95</v>
      </c>
      <c r="Q56" s="2">
        <v>5</v>
      </c>
      <c r="R56" s="3">
        <v>0</v>
      </c>
      <c r="S56" s="4">
        <v>298.68549999999999</v>
      </c>
      <c r="T56" s="2" t="str">
        <f>TEXT(SalesData[[#This Row],[Order Date]],"mmm")</f>
        <v>Nov</v>
      </c>
      <c r="U56" s="2">
        <f>YEAR(SalesData[[#This Row],[Order Date]])</f>
        <v>2016</v>
      </c>
      <c r="V56" s="2" t="str">
        <f>IF(SalesData[[#This Row],[Profit]]&gt;0,"Profit","Loss")</f>
        <v>Profit</v>
      </c>
      <c r="W56" s="2" t="str">
        <f>IF(SalesData[[#This Row],[Profit]]&gt;100,"High Profit",
IF(SalesData[[#This Row],[Profit]]&gt;0,"Low Profit","Loss"))</f>
        <v>High Profit</v>
      </c>
      <c r="X56" s="2" t="str">
        <f>IF(AND(SalesData[[#This Row],[Sales]]&gt;500,SalesData[[#This Row],[Profit]]&gt;0),"Good Order","Review")</f>
        <v>Good Order</v>
      </c>
      <c r="Y56" s="2"/>
      <c r="Z56" s="2"/>
      <c r="AA56" s="2"/>
      <c r="AB56" s="2"/>
    </row>
    <row r="57" spans="1:28" x14ac:dyDescent="0.3">
      <c r="A57" s="2">
        <v>56</v>
      </c>
      <c r="B57" s="2" t="s">
        <v>216</v>
      </c>
      <c r="C57" s="5">
        <v>42538</v>
      </c>
      <c r="D57" s="2" t="s">
        <v>151</v>
      </c>
      <c r="E57" s="2" t="s">
        <v>217</v>
      </c>
      <c r="F57" s="2" t="s">
        <v>218</v>
      </c>
      <c r="G57" s="2" t="s">
        <v>23</v>
      </c>
      <c r="H57" s="2" t="s">
        <v>24</v>
      </c>
      <c r="I57" s="2" t="s">
        <v>219</v>
      </c>
      <c r="J57" s="2" t="s">
        <v>212</v>
      </c>
      <c r="K57" s="2">
        <v>12180</v>
      </c>
      <c r="L57" s="2" t="s">
        <v>122</v>
      </c>
      <c r="M57" s="2" t="s">
        <v>220</v>
      </c>
      <c r="N57" s="2" t="s">
        <v>41</v>
      </c>
      <c r="O57" s="2" t="s">
        <v>52</v>
      </c>
      <c r="P57" s="4">
        <v>208.56</v>
      </c>
      <c r="Q57" s="2">
        <v>6</v>
      </c>
      <c r="R57" s="3">
        <v>0</v>
      </c>
      <c r="S57" s="4">
        <v>52.14</v>
      </c>
      <c r="T57" s="2" t="str">
        <f>TEXT(SalesData[[#This Row],[Order Date]],"mmm")</f>
        <v>Jun</v>
      </c>
      <c r="U57" s="2">
        <f>YEAR(SalesData[[#This Row],[Order Date]])</f>
        <v>2016</v>
      </c>
      <c r="V57" s="2" t="str">
        <f>IF(SalesData[[#This Row],[Profit]]&gt;0,"Profit","Loss")</f>
        <v>Profit</v>
      </c>
      <c r="W57" s="2" t="str">
        <f>IF(SalesData[[#This Row],[Profit]]&gt;100,"High Profit",
IF(SalesData[[#This Row],[Profit]]&gt;0,"Low Profit","Loss"))</f>
        <v>Low Profit</v>
      </c>
      <c r="X57" s="2" t="str">
        <f>IF(AND(SalesData[[#This Row],[Sales]]&gt;500,SalesData[[#This Row],[Profit]]&gt;0),"Good Order","Review")</f>
        <v>Review</v>
      </c>
      <c r="Y57" s="2"/>
      <c r="Z57" s="2"/>
      <c r="AA57" s="2"/>
      <c r="AB57" s="2"/>
    </row>
    <row r="58" spans="1:28" x14ac:dyDescent="0.3">
      <c r="A58" s="2">
        <v>57</v>
      </c>
      <c r="B58" s="2" t="s">
        <v>216</v>
      </c>
      <c r="C58" s="5">
        <v>42538</v>
      </c>
      <c r="D58" s="2" t="s">
        <v>151</v>
      </c>
      <c r="E58" s="2" t="s">
        <v>217</v>
      </c>
      <c r="F58" s="2" t="s">
        <v>218</v>
      </c>
      <c r="G58" s="2" t="s">
        <v>23</v>
      </c>
      <c r="H58" s="2" t="s">
        <v>24</v>
      </c>
      <c r="I58" s="2" t="s">
        <v>219</v>
      </c>
      <c r="J58" s="2" t="s">
        <v>212</v>
      </c>
      <c r="K58" s="2">
        <v>12180</v>
      </c>
      <c r="L58" s="2" t="s">
        <v>122</v>
      </c>
      <c r="M58" s="2" t="s">
        <v>221</v>
      </c>
      <c r="N58" s="2" t="s">
        <v>41</v>
      </c>
      <c r="O58" s="2" t="s">
        <v>75</v>
      </c>
      <c r="P58" s="4">
        <v>32.4</v>
      </c>
      <c r="Q58" s="2">
        <v>5</v>
      </c>
      <c r="R58" s="3">
        <v>0</v>
      </c>
      <c r="S58" s="4">
        <v>15.552</v>
      </c>
      <c r="T58" s="2" t="str">
        <f>TEXT(SalesData[[#This Row],[Order Date]],"mmm")</f>
        <v>Jun</v>
      </c>
      <c r="U58" s="2">
        <f>YEAR(SalesData[[#This Row],[Order Date]])</f>
        <v>2016</v>
      </c>
      <c r="V58" s="2" t="str">
        <f>IF(SalesData[[#This Row],[Profit]]&gt;0,"Profit","Loss")</f>
        <v>Profit</v>
      </c>
      <c r="W58" s="2" t="str">
        <f>IF(SalesData[[#This Row],[Profit]]&gt;100,"High Profit",
IF(SalesData[[#This Row],[Profit]]&gt;0,"Low Profit","Loss"))</f>
        <v>Low Profit</v>
      </c>
      <c r="X58" s="2" t="str">
        <f>IF(AND(SalesData[[#This Row],[Sales]]&gt;500,SalesData[[#This Row],[Profit]]&gt;0),"Good Order","Review")</f>
        <v>Review</v>
      </c>
      <c r="Y58" s="2"/>
      <c r="Z58" s="2"/>
      <c r="AA58" s="2"/>
      <c r="AB58" s="2"/>
    </row>
    <row r="59" spans="1:28" x14ac:dyDescent="0.3">
      <c r="A59" s="2">
        <v>58</v>
      </c>
      <c r="B59" s="2" t="s">
        <v>216</v>
      </c>
      <c r="C59" s="5">
        <v>42538</v>
      </c>
      <c r="D59" s="2" t="s">
        <v>151</v>
      </c>
      <c r="E59" s="2" t="s">
        <v>217</v>
      </c>
      <c r="F59" s="2" t="s">
        <v>218</v>
      </c>
      <c r="G59" s="2" t="s">
        <v>23</v>
      </c>
      <c r="H59" s="2" t="s">
        <v>24</v>
      </c>
      <c r="I59" s="2" t="s">
        <v>219</v>
      </c>
      <c r="J59" s="2" t="s">
        <v>212</v>
      </c>
      <c r="K59" s="2">
        <v>12180</v>
      </c>
      <c r="L59" s="2" t="s">
        <v>122</v>
      </c>
      <c r="M59" s="2" t="s">
        <v>222</v>
      </c>
      <c r="N59" s="2" t="s">
        <v>29</v>
      </c>
      <c r="O59" s="2" t="s">
        <v>32</v>
      </c>
      <c r="P59" s="4">
        <v>319.41000000000003</v>
      </c>
      <c r="Q59" s="2">
        <v>5</v>
      </c>
      <c r="R59" s="3">
        <v>0.1</v>
      </c>
      <c r="S59" s="4">
        <v>7.0979999999999999</v>
      </c>
      <c r="T59" s="2" t="str">
        <f>TEXT(SalesData[[#This Row],[Order Date]],"mmm")</f>
        <v>Jun</v>
      </c>
      <c r="U59" s="2">
        <f>YEAR(SalesData[[#This Row],[Order Date]])</f>
        <v>2016</v>
      </c>
      <c r="V59" s="2" t="str">
        <f>IF(SalesData[[#This Row],[Profit]]&gt;0,"Profit","Loss")</f>
        <v>Profit</v>
      </c>
      <c r="W59" s="2" t="str">
        <f>IF(SalesData[[#This Row],[Profit]]&gt;100,"High Profit",
IF(SalesData[[#This Row],[Profit]]&gt;0,"Low Profit","Loss"))</f>
        <v>Low Profit</v>
      </c>
      <c r="X59" s="2" t="str">
        <f>IF(AND(SalesData[[#This Row],[Sales]]&gt;500,SalesData[[#This Row],[Profit]]&gt;0),"Good Order","Review")</f>
        <v>Review</v>
      </c>
      <c r="Y59" s="2"/>
      <c r="Z59" s="2"/>
      <c r="AA59" s="2"/>
      <c r="AB59" s="2"/>
    </row>
    <row r="60" spans="1:28" x14ac:dyDescent="0.3">
      <c r="A60" s="2">
        <v>59</v>
      </c>
      <c r="B60" s="2" t="s">
        <v>216</v>
      </c>
      <c r="C60" s="5">
        <v>42538</v>
      </c>
      <c r="D60" s="2" t="s">
        <v>151</v>
      </c>
      <c r="E60" s="2" t="s">
        <v>217</v>
      </c>
      <c r="F60" s="2" t="s">
        <v>218</v>
      </c>
      <c r="G60" s="2" t="s">
        <v>23</v>
      </c>
      <c r="H60" s="2" t="s">
        <v>24</v>
      </c>
      <c r="I60" s="2" t="s">
        <v>219</v>
      </c>
      <c r="J60" s="2" t="s">
        <v>212</v>
      </c>
      <c r="K60" s="2">
        <v>12180</v>
      </c>
      <c r="L60" s="2" t="s">
        <v>122</v>
      </c>
      <c r="M60" s="2" t="s">
        <v>223</v>
      </c>
      <c r="N60" s="2" t="s">
        <v>41</v>
      </c>
      <c r="O60" s="2" t="s">
        <v>75</v>
      </c>
      <c r="P60" s="4">
        <v>14.56</v>
      </c>
      <c r="Q60" s="2">
        <v>2</v>
      </c>
      <c r="R60" s="3">
        <v>0</v>
      </c>
      <c r="S60" s="4">
        <v>6.9888000000000003</v>
      </c>
      <c r="T60" s="2" t="str">
        <f>TEXT(SalesData[[#This Row],[Order Date]],"mmm")</f>
        <v>Jun</v>
      </c>
      <c r="U60" s="2">
        <f>YEAR(SalesData[[#This Row],[Order Date]])</f>
        <v>2016</v>
      </c>
      <c r="V60" s="2" t="str">
        <f>IF(SalesData[[#This Row],[Profit]]&gt;0,"Profit","Loss")</f>
        <v>Profit</v>
      </c>
      <c r="W60" s="2" t="str">
        <f>IF(SalesData[[#This Row],[Profit]]&gt;100,"High Profit",
IF(SalesData[[#This Row],[Profit]]&gt;0,"Low Profit","Loss"))</f>
        <v>Low Profit</v>
      </c>
      <c r="X60" s="2" t="str">
        <f>IF(AND(SalesData[[#This Row],[Sales]]&gt;500,SalesData[[#This Row],[Profit]]&gt;0),"Good Order","Review")</f>
        <v>Review</v>
      </c>
      <c r="Y60" s="2"/>
      <c r="Z60" s="2"/>
      <c r="AA60" s="2"/>
      <c r="AB60" s="2"/>
    </row>
    <row r="61" spans="1:28" x14ac:dyDescent="0.3">
      <c r="A61" s="2">
        <v>60</v>
      </c>
      <c r="B61" s="2" t="s">
        <v>216</v>
      </c>
      <c r="C61" s="5">
        <v>42538</v>
      </c>
      <c r="D61" s="2" t="s">
        <v>151</v>
      </c>
      <c r="E61" s="2" t="s">
        <v>217</v>
      </c>
      <c r="F61" s="2" t="s">
        <v>218</v>
      </c>
      <c r="G61" s="2" t="s">
        <v>23</v>
      </c>
      <c r="H61" s="2" t="s">
        <v>24</v>
      </c>
      <c r="I61" s="2" t="s">
        <v>219</v>
      </c>
      <c r="J61" s="2" t="s">
        <v>212</v>
      </c>
      <c r="K61" s="2">
        <v>12180</v>
      </c>
      <c r="L61" s="2" t="s">
        <v>122</v>
      </c>
      <c r="M61" s="2" t="s">
        <v>197</v>
      </c>
      <c r="N61" s="2" t="s">
        <v>61</v>
      </c>
      <c r="O61" s="2" t="s">
        <v>133</v>
      </c>
      <c r="P61" s="4">
        <v>30</v>
      </c>
      <c r="Q61" s="2">
        <v>2</v>
      </c>
      <c r="R61" s="3">
        <v>0</v>
      </c>
      <c r="S61" s="4">
        <v>3.3</v>
      </c>
      <c r="T61" s="2" t="str">
        <f>TEXT(SalesData[[#This Row],[Order Date]],"mmm")</f>
        <v>Jun</v>
      </c>
      <c r="U61" s="2">
        <f>YEAR(SalesData[[#This Row],[Order Date]])</f>
        <v>2016</v>
      </c>
      <c r="V61" s="2" t="str">
        <f>IF(SalesData[[#This Row],[Profit]]&gt;0,"Profit","Loss")</f>
        <v>Profit</v>
      </c>
      <c r="W61" s="2" t="str">
        <f>IF(SalesData[[#This Row],[Profit]]&gt;100,"High Profit",
IF(SalesData[[#This Row],[Profit]]&gt;0,"Low Profit","Loss"))</f>
        <v>Low Profit</v>
      </c>
      <c r="X61" s="2" t="str">
        <f>IF(AND(SalesData[[#This Row],[Sales]]&gt;500,SalesData[[#This Row],[Profit]]&gt;0),"Good Order","Review")</f>
        <v>Review</v>
      </c>
      <c r="Y61" s="2"/>
      <c r="Z61" s="2"/>
      <c r="AA61" s="2"/>
      <c r="AB61" s="2"/>
    </row>
    <row r="62" spans="1:28" x14ac:dyDescent="0.3">
      <c r="A62" s="2">
        <v>61</v>
      </c>
      <c r="B62" s="2" t="s">
        <v>216</v>
      </c>
      <c r="C62" s="5">
        <v>42538</v>
      </c>
      <c r="D62" s="2" t="s">
        <v>151</v>
      </c>
      <c r="E62" s="2" t="s">
        <v>217</v>
      </c>
      <c r="F62" s="2" t="s">
        <v>218</v>
      </c>
      <c r="G62" s="2" t="s">
        <v>23</v>
      </c>
      <c r="H62" s="2" t="s">
        <v>24</v>
      </c>
      <c r="I62" s="2" t="s">
        <v>219</v>
      </c>
      <c r="J62" s="2" t="s">
        <v>212</v>
      </c>
      <c r="K62" s="2">
        <v>12180</v>
      </c>
      <c r="L62" s="2" t="s">
        <v>122</v>
      </c>
      <c r="M62" s="2" t="s">
        <v>224</v>
      </c>
      <c r="N62" s="2" t="s">
        <v>41</v>
      </c>
      <c r="O62" s="2" t="s">
        <v>64</v>
      </c>
      <c r="P62" s="4">
        <v>48.48</v>
      </c>
      <c r="Q62" s="2">
        <v>4</v>
      </c>
      <c r="R62" s="3">
        <v>0.2</v>
      </c>
      <c r="S62" s="4">
        <v>16.361999999999998</v>
      </c>
      <c r="T62" s="2" t="str">
        <f>TEXT(SalesData[[#This Row],[Order Date]],"mmm")</f>
        <v>Jun</v>
      </c>
      <c r="U62" s="2">
        <f>YEAR(SalesData[[#This Row],[Order Date]])</f>
        <v>2016</v>
      </c>
      <c r="V62" s="2" t="str">
        <f>IF(SalesData[[#This Row],[Profit]]&gt;0,"Profit","Loss")</f>
        <v>Profit</v>
      </c>
      <c r="W62" s="2" t="str">
        <f>IF(SalesData[[#This Row],[Profit]]&gt;100,"High Profit",
IF(SalesData[[#This Row],[Profit]]&gt;0,"Low Profit","Loss"))</f>
        <v>Low Profit</v>
      </c>
      <c r="X62" s="2" t="str">
        <f>IF(AND(SalesData[[#This Row],[Sales]]&gt;500,SalesData[[#This Row],[Profit]]&gt;0),"Good Order","Review")</f>
        <v>Review</v>
      </c>
      <c r="Y62" s="2"/>
      <c r="Z62" s="2"/>
      <c r="AA62" s="2"/>
      <c r="AB62" s="2"/>
    </row>
    <row r="63" spans="1:28" x14ac:dyDescent="0.3">
      <c r="A63" s="2">
        <v>62</v>
      </c>
      <c r="B63" s="2" t="s">
        <v>216</v>
      </c>
      <c r="C63" s="5">
        <v>42538</v>
      </c>
      <c r="D63" s="2" t="s">
        <v>151</v>
      </c>
      <c r="E63" s="2" t="s">
        <v>217</v>
      </c>
      <c r="F63" s="2" t="s">
        <v>218</v>
      </c>
      <c r="G63" s="2" t="s">
        <v>23</v>
      </c>
      <c r="H63" s="2" t="s">
        <v>24</v>
      </c>
      <c r="I63" s="2" t="s">
        <v>219</v>
      </c>
      <c r="J63" s="2" t="s">
        <v>212</v>
      </c>
      <c r="K63" s="2">
        <v>12180</v>
      </c>
      <c r="L63" s="2" t="s">
        <v>122</v>
      </c>
      <c r="M63" s="2" t="s">
        <v>225</v>
      </c>
      <c r="N63" s="2" t="s">
        <v>41</v>
      </c>
      <c r="O63" s="2" t="s">
        <v>59</v>
      </c>
      <c r="P63" s="4">
        <v>1.68</v>
      </c>
      <c r="Q63" s="2">
        <v>1</v>
      </c>
      <c r="R63" s="3">
        <v>0</v>
      </c>
      <c r="S63" s="4">
        <v>0.84</v>
      </c>
      <c r="T63" s="2" t="str">
        <f>TEXT(SalesData[[#This Row],[Order Date]],"mmm")</f>
        <v>Jun</v>
      </c>
      <c r="U63" s="2">
        <f>YEAR(SalesData[[#This Row],[Order Date]])</f>
        <v>2016</v>
      </c>
      <c r="V63" s="2" t="str">
        <f>IF(SalesData[[#This Row],[Profit]]&gt;0,"Profit","Loss")</f>
        <v>Profit</v>
      </c>
      <c r="W63" s="2" t="str">
        <f>IF(SalesData[[#This Row],[Profit]]&gt;100,"High Profit",
IF(SalesData[[#This Row],[Profit]]&gt;0,"Low Profit","Loss"))</f>
        <v>Low Profit</v>
      </c>
      <c r="X63" s="2" t="str">
        <f>IF(AND(SalesData[[#This Row],[Sales]]&gt;500,SalesData[[#This Row],[Profit]]&gt;0),"Good Order","Review")</f>
        <v>Review</v>
      </c>
      <c r="Y63" s="2"/>
      <c r="Z63" s="2"/>
      <c r="AA63" s="2"/>
      <c r="AB63" s="2"/>
    </row>
    <row r="64" spans="1:28" x14ac:dyDescent="0.3">
      <c r="A64" s="2">
        <v>63</v>
      </c>
      <c r="B64" s="2" t="s">
        <v>226</v>
      </c>
      <c r="C64" s="5">
        <v>42332</v>
      </c>
      <c r="D64" s="2" t="s">
        <v>44</v>
      </c>
      <c r="E64" s="2" t="s">
        <v>227</v>
      </c>
      <c r="F64" s="2" t="s">
        <v>228</v>
      </c>
      <c r="G64" s="2" t="s">
        <v>23</v>
      </c>
      <c r="H64" s="2" t="s">
        <v>24</v>
      </c>
      <c r="I64" s="2" t="s">
        <v>37</v>
      </c>
      <c r="J64" s="2" t="s">
        <v>38</v>
      </c>
      <c r="K64" s="2">
        <v>90004</v>
      </c>
      <c r="L64" s="2" t="s">
        <v>39</v>
      </c>
      <c r="M64" s="2" t="s">
        <v>229</v>
      </c>
      <c r="N64" s="2" t="s">
        <v>61</v>
      </c>
      <c r="O64" s="2" t="s">
        <v>133</v>
      </c>
      <c r="P64" s="4">
        <v>13.98</v>
      </c>
      <c r="Q64" s="2">
        <v>2</v>
      </c>
      <c r="R64" s="3">
        <v>0</v>
      </c>
      <c r="S64" s="4">
        <v>6.1512000000000002</v>
      </c>
      <c r="T64" s="2" t="str">
        <f>TEXT(SalesData[[#This Row],[Order Date]],"mmm")</f>
        <v>Nov</v>
      </c>
      <c r="U64" s="2">
        <f>YEAR(SalesData[[#This Row],[Order Date]])</f>
        <v>2015</v>
      </c>
      <c r="V64" s="2" t="str">
        <f>IF(SalesData[[#This Row],[Profit]]&gt;0,"Profit","Loss")</f>
        <v>Profit</v>
      </c>
      <c r="W64" s="2" t="str">
        <f>IF(SalesData[[#This Row],[Profit]]&gt;100,"High Profit",
IF(SalesData[[#This Row],[Profit]]&gt;0,"Low Profit","Loss"))</f>
        <v>Low Profit</v>
      </c>
      <c r="X64" s="2" t="str">
        <f>IF(AND(SalesData[[#This Row],[Sales]]&gt;500,SalesData[[#This Row],[Profit]]&gt;0),"Good Order","Review")</f>
        <v>Review</v>
      </c>
      <c r="Y64" s="2"/>
      <c r="Z64" s="2"/>
      <c r="AA64" s="2"/>
      <c r="AB64" s="2"/>
    </row>
    <row r="65" spans="1:28" x14ac:dyDescent="0.3">
      <c r="A65" s="2">
        <v>64</v>
      </c>
      <c r="B65" s="2" t="s">
        <v>226</v>
      </c>
      <c r="C65" s="5">
        <v>42332</v>
      </c>
      <c r="D65" s="2" t="s">
        <v>44</v>
      </c>
      <c r="E65" s="2" t="s">
        <v>227</v>
      </c>
      <c r="F65" s="2" t="s">
        <v>228</v>
      </c>
      <c r="G65" s="2" t="s">
        <v>23</v>
      </c>
      <c r="H65" s="2" t="s">
        <v>24</v>
      </c>
      <c r="I65" s="2" t="s">
        <v>37</v>
      </c>
      <c r="J65" s="2" t="s">
        <v>38</v>
      </c>
      <c r="K65" s="2">
        <v>90004</v>
      </c>
      <c r="L65" s="2" t="s">
        <v>39</v>
      </c>
      <c r="M65" s="2" t="s">
        <v>230</v>
      </c>
      <c r="N65" s="2" t="s">
        <v>41</v>
      </c>
      <c r="O65" s="2" t="s">
        <v>64</v>
      </c>
      <c r="P65" s="4">
        <v>25.824000000000002</v>
      </c>
      <c r="Q65" s="2">
        <v>6</v>
      </c>
      <c r="R65" s="3">
        <v>0.2</v>
      </c>
      <c r="S65" s="4">
        <v>9.3612000000000002</v>
      </c>
      <c r="T65" s="2" t="str">
        <f>TEXT(SalesData[[#This Row],[Order Date]],"mmm")</f>
        <v>Nov</v>
      </c>
      <c r="U65" s="2">
        <f>YEAR(SalesData[[#This Row],[Order Date]])</f>
        <v>2015</v>
      </c>
      <c r="V65" s="2" t="str">
        <f>IF(SalesData[[#This Row],[Profit]]&gt;0,"Profit","Loss")</f>
        <v>Profit</v>
      </c>
      <c r="W65" s="2" t="str">
        <f>IF(SalesData[[#This Row],[Profit]]&gt;100,"High Profit",
IF(SalesData[[#This Row],[Profit]]&gt;0,"Low Profit","Loss"))</f>
        <v>Low Profit</v>
      </c>
      <c r="X65" s="2" t="str">
        <f>IF(AND(SalesData[[#This Row],[Sales]]&gt;500,SalesData[[#This Row],[Profit]]&gt;0),"Good Order","Review")</f>
        <v>Review</v>
      </c>
      <c r="Y65" s="2"/>
      <c r="Z65" s="2"/>
      <c r="AA65" s="2"/>
      <c r="AB65" s="2"/>
    </row>
    <row r="66" spans="1:28" x14ac:dyDescent="0.3">
      <c r="A66" s="2">
        <v>65</v>
      </c>
      <c r="B66" s="2" t="s">
        <v>226</v>
      </c>
      <c r="C66" s="5">
        <v>42332</v>
      </c>
      <c r="D66" s="2" t="s">
        <v>44</v>
      </c>
      <c r="E66" s="2" t="s">
        <v>227</v>
      </c>
      <c r="F66" s="2" t="s">
        <v>228</v>
      </c>
      <c r="G66" s="2" t="s">
        <v>23</v>
      </c>
      <c r="H66" s="2" t="s">
        <v>24</v>
      </c>
      <c r="I66" s="2" t="s">
        <v>37</v>
      </c>
      <c r="J66" s="2" t="s">
        <v>38</v>
      </c>
      <c r="K66" s="2">
        <v>90004</v>
      </c>
      <c r="L66" s="2" t="s">
        <v>39</v>
      </c>
      <c r="M66" s="2" t="s">
        <v>231</v>
      </c>
      <c r="N66" s="2" t="s">
        <v>41</v>
      </c>
      <c r="O66" s="2" t="s">
        <v>75</v>
      </c>
      <c r="P66" s="4">
        <v>146.72999999999999</v>
      </c>
      <c r="Q66" s="2">
        <v>3</v>
      </c>
      <c r="R66" s="3">
        <v>0</v>
      </c>
      <c r="S66" s="4">
        <v>68.963099999999997</v>
      </c>
      <c r="T66" s="2" t="str">
        <f>TEXT(SalesData[[#This Row],[Order Date]],"mmm")</f>
        <v>Nov</v>
      </c>
      <c r="U66" s="2">
        <f>YEAR(SalesData[[#This Row],[Order Date]])</f>
        <v>2015</v>
      </c>
      <c r="V66" s="2" t="str">
        <f>IF(SalesData[[#This Row],[Profit]]&gt;0,"Profit","Loss")</f>
        <v>Profit</v>
      </c>
      <c r="W66" s="2" t="str">
        <f>IF(SalesData[[#This Row],[Profit]]&gt;100,"High Profit",
IF(SalesData[[#This Row],[Profit]]&gt;0,"Low Profit","Loss"))</f>
        <v>Low Profit</v>
      </c>
      <c r="X66" s="2" t="str">
        <f>IF(AND(SalesData[[#This Row],[Sales]]&gt;500,SalesData[[#This Row],[Profit]]&gt;0),"Good Order","Review")</f>
        <v>Review</v>
      </c>
      <c r="Y66" s="2"/>
      <c r="Z66" s="2"/>
      <c r="AA66" s="2"/>
      <c r="AB66" s="2"/>
    </row>
    <row r="67" spans="1:28" x14ac:dyDescent="0.3">
      <c r="A67" s="2">
        <v>66</v>
      </c>
      <c r="B67" s="2" t="s">
        <v>226</v>
      </c>
      <c r="C67" s="5">
        <v>42332</v>
      </c>
      <c r="D67" s="2" t="s">
        <v>44</v>
      </c>
      <c r="E67" s="2" t="s">
        <v>227</v>
      </c>
      <c r="F67" s="2" t="s">
        <v>228</v>
      </c>
      <c r="G67" s="2" t="s">
        <v>23</v>
      </c>
      <c r="H67" s="2" t="s">
        <v>24</v>
      </c>
      <c r="I67" s="2" t="s">
        <v>37</v>
      </c>
      <c r="J67" s="2" t="s">
        <v>38</v>
      </c>
      <c r="K67" s="2">
        <v>90004</v>
      </c>
      <c r="L67" s="2" t="s">
        <v>39</v>
      </c>
      <c r="M67" s="2" t="s">
        <v>232</v>
      </c>
      <c r="N67" s="2" t="s">
        <v>29</v>
      </c>
      <c r="O67" s="2" t="s">
        <v>57</v>
      </c>
      <c r="P67" s="4">
        <v>79.760000000000005</v>
      </c>
      <c r="Q67" s="2">
        <v>4</v>
      </c>
      <c r="R67" s="3">
        <v>0</v>
      </c>
      <c r="S67" s="4">
        <v>22.332799999999999</v>
      </c>
      <c r="T67" s="2" t="str">
        <f>TEXT(SalesData[[#This Row],[Order Date]],"mmm")</f>
        <v>Nov</v>
      </c>
      <c r="U67" s="2">
        <f>YEAR(SalesData[[#This Row],[Order Date]])</f>
        <v>2015</v>
      </c>
      <c r="V67" s="2" t="str">
        <f>IF(SalesData[[#This Row],[Profit]]&gt;0,"Profit","Loss")</f>
        <v>Profit</v>
      </c>
      <c r="W67" s="2" t="str">
        <f>IF(SalesData[[#This Row],[Profit]]&gt;100,"High Profit",
IF(SalesData[[#This Row],[Profit]]&gt;0,"Low Profit","Loss"))</f>
        <v>Low Profit</v>
      </c>
      <c r="X67" s="2" t="str">
        <f>IF(AND(SalesData[[#This Row],[Sales]]&gt;500,SalesData[[#This Row],[Profit]]&gt;0),"Good Order","Review")</f>
        <v>Review</v>
      </c>
      <c r="Y67" s="2"/>
      <c r="Z67" s="2"/>
      <c r="AA67" s="2"/>
      <c r="AB67" s="2"/>
    </row>
    <row r="68" spans="1:28" x14ac:dyDescent="0.3">
      <c r="A68" s="2">
        <v>67</v>
      </c>
      <c r="B68" s="2" t="s">
        <v>233</v>
      </c>
      <c r="C68" s="5">
        <v>42124</v>
      </c>
      <c r="D68" s="2" t="s">
        <v>44</v>
      </c>
      <c r="E68" s="2" t="s">
        <v>234</v>
      </c>
      <c r="F68" s="2" t="s">
        <v>235</v>
      </c>
      <c r="G68" s="2" t="s">
        <v>85</v>
      </c>
      <c r="H68" s="2" t="s">
        <v>24</v>
      </c>
      <c r="I68" s="2" t="s">
        <v>236</v>
      </c>
      <c r="J68" s="2" t="s">
        <v>168</v>
      </c>
      <c r="K68" s="2">
        <v>60610</v>
      </c>
      <c r="L68" s="2" t="s">
        <v>88</v>
      </c>
      <c r="M68" s="2" t="s">
        <v>237</v>
      </c>
      <c r="N68" s="2" t="s">
        <v>29</v>
      </c>
      <c r="O68" s="2" t="s">
        <v>32</v>
      </c>
      <c r="P68" s="4">
        <v>213.11500000000001</v>
      </c>
      <c r="Q68" s="2">
        <v>5</v>
      </c>
      <c r="R68" s="3">
        <v>0.3</v>
      </c>
      <c r="S68" s="4">
        <v>-15.2225</v>
      </c>
      <c r="T68" s="2" t="str">
        <f>TEXT(SalesData[[#This Row],[Order Date]],"mmm")</f>
        <v>Apr</v>
      </c>
      <c r="U68" s="2">
        <f>YEAR(SalesData[[#This Row],[Order Date]])</f>
        <v>2015</v>
      </c>
      <c r="V68" s="2" t="str">
        <f>IF(SalesData[[#This Row],[Profit]]&gt;0,"Profit","Loss")</f>
        <v>Loss</v>
      </c>
      <c r="W68" s="2" t="str">
        <f>IF(SalesData[[#This Row],[Profit]]&gt;100,"High Profit",
IF(SalesData[[#This Row],[Profit]]&gt;0,"Low Profit","Loss"))</f>
        <v>Loss</v>
      </c>
      <c r="X68" s="2" t="str">
        <f>IF(AND(SalesData[[#This Row],[Sales]]&gt;500,SalesData[[#This Row],[Profit]]&gt;0),"Good Order","Review")</f>
        <v>Review</v>
      </c>
      <c r="Y68" s="2"/>
      <c r="Z68" s="2"/>
      <c r="AA68" s="2"/>
      <c r="AB68" s="2"/>
    </row>
    <row r="69" spans="1:28" x14ac:dyDescent="0.3">
      <c r="A69" s="2">
        <v>68</v>
      </c>
      <c r="B69" s="2" t="s">
        <v>238</v>
      </c>
      <c r="C69" s="5">
        <v>41771</v>
      </c>
      <c r="D69" s="2" t="s">
        <v>44</v>
      </c>
      <c r="E69" s="2" t="s">
        <v>239</v>
      </c>
      <c r="F69" s="2" t="s">
        <v>240</v>
      </c>
      <c r="G69" s="2" t="s">
        <v>36</v>
      </c>
      <c r="H69" s="2" t="s">
        <v>24</v>
      </c>
      <c r="I69" s="2" t="s">
        <v>241</v>
      </c>
      <c r="J69" s="2" t="s">
        <v>242</v>
      </c>
      <c r="K69" s="2">
        <v>85234</v>
      </c>
      <c r="L69" s="2" t="s">
        <v>39</v>
      </c>
      <c r="M69" s="2" t="s">
        <v>243</v>
      </c>
      <c r="N69" s="2" t="s">
        <v>41</v>
      </c>
      <c r="O69" s="2" t="s">
        <v>59</v>
      </c>
      <c r="P69" s="4">
        <v>1113.0239999999999</v>
      </c>
      <c r="Q69" s="2">
        <v>8</v>
      </c>
      <c r="R69" s="3">
        <v>0.2</v>
      </c>
      <c r="S69" s="4">
        <v>111.30240000000001</v>
      </c>
      <c r="T69" s="2" t="str">
        <f>TEXT(SalesData[[#This Row],[Order Date]],"mmm")</f>
        <v>May</v>
      </c>
      <c r="U69" s="2">
        <f>YEAR(SalesData[[#This Row],[Order Date]])</f>
        <v>2014</v>
      </c>
      <c r="V69" s="2" t="str">
        <f>IF(SalesData[[#This Row],[Profit]]&gt;0,"Profit","Loss")</f>
        <v>Profit</v>
      </c>
      <c r="W69" s="2" t="str">
        <f>IF(SalesData[[#This Row],[Profit]]&gt;100,"High Profit",
IF(SalesData[[#This Row],[Profit]]&gt;0,"Low Profit","Loss"))</f>
        <v>High Profit</v>
      </c>
      <c r="X69" s="2" t="str">
        <f>IF(AND(SalesData[[#This Row],[Sales]]&gt;500,SalesData[[#This Row],[Profit]]&gt;0),"Good Order","Review")</f>
        <v>Good Order</v>
      </c>
      <c r="Y69" s="2"/>
      <c r="Z69" s="2"/>
      <c r="AA69" s="2"/>
      <c r="AB69" s="2"/>
    </row>
    <row r="70" spans="1:28" x14ac:dyDescent="0.3">
      <c r="A70" s="2">
        <v>69</v>
      </c>
      <c r="B70" s="2" t="s">
        <v>238</v>
      </c>
      <c r="C70" s="5">
        <v>41771</v>
      </c>
      <c r="D70" s="2" t="s">
        <v>44</v>
      </c>
      <c r="E70" s="2" t="s">
        <v>239</v>
      </c>
      <c r="F70" s="2" t="s">
        <v>240</v>
      </c>
      <c r="G70" s="2" t="s">
        <v>36</v>
      </c>
      <c r="H70" s="2" t="s">
        <v>24</v>
      </c>
      <c r="I70" s="2" t="s">
        <v>241</v>
      </c>
      <c r="J70" s="2" t="s">
        <v>242</v>
      </c>
      <c r="K70" s="2">
        <v>85234</v>
      </c>
      <c r="L70" s="2" t="s">
        <v>39</v>
      </c>
      <c r="M70" s="2" t="s">
        <v>244</v>
      </c>
      <c r="N70" s="2" t="s">
        <v>61</v>
      </c>
      <c r="O70" s="2" t="s">
        <v>62</v>
      </c>
      <c r="P70" s="4">
        <v>167.96799999999999</v>
      </c>
      <c r="Q70" s="2">
        <v>4</v>
      </c>
      <c r="R70" s="3">
        <v>0.2</v>
      </c>
      <c r="S70" s="4">
        <v>62.988</v>
      </c>
      <c r="T70" s="2" t="str">
        <f>TEXT(SalesData[[#This Row],[Order Date]],"mmm")</f>
        <v>May</v>
      </c>
      <c r="U70" s="2">
        <f>YEAR(SalesData[[#This Row],[Order Date]])</f>
        <v>2014</v>
      </c>
      <c r="V70" s="2" t="str">
        <f>IF(SalesData[[#This Row],[Profit]]&gt;0,"Profit","Loss")</f>
        <v>Profit</v>
      </c>
      <c r="W70" s="2" t="str">
        <f>IF(SalesData[[#This Row],[Profit]]&gt;100,"High Profit",
IF(SalesData[[#This Row],[Profit]]&gt;0,"Low Profit","Loss"))</f>
        <v>Low Profit</v>
      </c>
      <c r="X70" s="2" t="str">
        <f>IF(AND(SalesData[[#This Row],[Sales]]&gt;500,SalesData[[#This Row],[Profit]]&gt;0),"Good Order","Review")</f>
        <v>Review</v>
      </c>
      <c r="Y70" s="2"/>
      <c r="Z70" s="2"/>
      <c r="AA70" s="2"/>
      <c r="AB70" s="2"/>
    </row>
    <row r="71" spans="1:28" x14ac:dyDescent="0.3">
      <c r="A71" s="2">
        <v>70</v>
      </c>
      <c r="B71" s="2" t="s">
        <v>245</v>
      </c>
      <c r="C71" s="5">
        <v>42466</v>
      </c>
      <c r="D71" s="2" t="s">
        <v>151</v>
      </c>
      <c r="E71" s="2" t="s">
        <v>246</v>
      </c>
      <c r="F71" s="2" t="s">
        <v>247</v>
      </c>
      <c r="G71" s="2" t="s">
        <v>23</v>
      </c>
      <c r="H71" s="2" t="s">
        <v>24</v>
      </c>
      <c r="I71" s="2" t="s">
        <v>248</v>
      </c>
      <c r="J71" s="2" t="s">
        <v>249</v>
      </c>
      <c r="K71" s="2">
        <v>22153</v>
      </c>
      <c r="L71" s="2" t="s">
        <v>27</v>
      </c>
      <c r="M71" s="2" t="s">
        <v>250</v>
      </c>
      <c r="N71" s="2" t="s">
        <v>41</v>
      </c>
      <c r="O71" s="2" t="s">
        <v>75</v>
      </c>
      <c r="P71" s="4">
        <v>75.88</v>
      </c>
      <c r="Q71" s="2">
        <v>2</v>
      </c>
      <c r="R71" s="3">
        <v>0</v>
      </c>
      <c r="S71" s="4">
        <v>35.663600000000002</v>
      </c>
      <c r="T71" s="2" t="str">
        <f>TEXT(SalesData[[#This Row],[Order Date]],"mmm")</f>
        <v>Apr</v>
      </c>
      <c r="U71" s="2">
        <f>YEAR(SalesData[[#This Row],[Order Date]])</f>
        <v>2016</v>
      </c>
      <c r="V71" s="2" t="str">
        <f>IF(SalesData[[#This Row],[Profit]]&gt;0,"Profit","Loss")</f>
        <v>Profit</v>
      </c>
      <c r="W71" s="2" t="str">
        <f>IF(SalesData[[#This Row],[Profit]]&gt;100,"High Profit",
IF(SalesData[[#This Row],[Profit]]&gt;0,"Low Profit","Loss"))</f>
        <v>Low Profit</v>
      </c>
      <c r="X71" s="2" t="str">
        <f>IF(AND(SalesData[[#This Row],[Sales]]&gt;500,SalesData[[#This Row],[Profit]]&gt;0),"Good Order","Review")</f>
        <v>Review</v>
      </c>
      <c r="Y71" s="2"/>
      <c r="Z71" s="2"/>
      <c r="AA71" s="2"/>
      <c r="AB71" s="2"/>
    </row>
    <row r="72" spans="1:28" x14ac:dyDescent="0.3">
      <c r="A72" s="2">
        <v>71</v>
      </c>
      <c r="B72" s="2" t="s">
        <v>251</v>
      </c>
      <c r="C72" s="5">
        <v>42631</v>
      </c>
      <c r="D72" s="2" t="s">
        <v>44</v>
      </c>
      <c r="E72" s="2" t="s">
        <v>252</v>
      </c>
      <c r="F72" s="2" t="s">
        <v>253</v>
      </c>
      <c r="G72" s="2" t="s">
        <v>23</v>
      </c>
      <c r="H72" s="2" t="s">
        <v>24</v>
      </c>
      <c r="I72" s="2" t="s">
        <v>211</v>
      </c>
      <c r="J72" s="2" t="s">
        <v>212</v>
      </c>
      <c r="K72" s="2">
        <v>10009</v>
      </c>
      <c r="L72" s="2" t="s">
        <v>122</v>
      </c>
      <c r="M72" s="2" t="s">
        <v>254</v>
      </c>
      <c r="N72" s="2" t="s">
        <v>41</v>
      </c>
      <c r="O72" s="2" t="s">
        <v>64</v>
      </c>
      <c r="P72" s="4">
        <v>4.6159999999999997</v>
      </c>
      <c r="Q72" s="2">
        <v>1</v>
      </c>
      <c r="R72" s="3">
        <v>0.2</v>
      </c>
      <c r="S72" s="4">
        <v>1.7310000000000001</v>
      </c>
      <c r="T72" s="2" t="str">
        <f>TEXT(SalesData[[#This Row],[Order Date]],"mmm")</f>
        <v>Sep</v>
      </c>
      <c r="U72" s="2">
        <f>YEAR(SalesData[[#This Row],[Order Date]])</f>
        <v>2016</v>
      </c>
      <c r="V72" s="2" t="str">
        <f>IF(SalesData[[#This Row],[Profit]]&gt;0,"Profit","Loss")</f>
        <v>Profit</v>
      </c>
      <c r="W72" s="2" t="str">
        <f>IF(SalesData[[#This Row],[Profit]]&gt;100,"High Profit",
IF(SalesData[[#This Row],[Profit]]&gt;0,"Low Profit","Loss"))</f>
        <v>Low Profit</v>
      </c>
      <c r="X72" s="2" t="str">
        <f>IF(AND(SalesData[[#This Row],[Sales]]&gt;500,SalesData[[#This Row],[Profit]]&gt;0),"Good Order","Review")</f>
        <v>Review</v>
      </c>
      <c r="Y72" s="2"/>
      <c r="Z72" s="2"/>
      <c r="AA72" s="2"/>
      <c r="AB72" s="2"/>
    </row>
    <row r="73" spans="1:28" x14ac:dyDescent="0.3">
      <c r="A73" s="2">
        <v>72</v>
      </c>
      <c r="B73" s="2" t="s">
        <v>255</v>
      </c>
      <c r="C73" s="5">
        <v>42992</v>
      </c>
      <c r="D73" s="2" t="s">
        <v>20</v>
      </c>
      <c r="E73" s="2" t="s">
        <v>135</v>
      </c>
      <c r="F73" s="2" t="s">
        <v>136</v>
      </c>
      <c r="G73" s="2" t="s">
        <v>23</v>
      </c>
      <c r="H73" s="2" t="s">
        <v>24</v>
      </c>
      <c r="I73" s="2" t="s">
        <v>256</v>
      </c>
      <c r="J73" s="2" t="s">
        <v>190</v>
      </c>
      <c r="K73" s="2">
        <v>49201</v>
      </c>
      <c r="L73" s="2" t="s">
        <v>88</v>
      </c>
      <c r="M73" s="2" t="s">
        <v>257</v>
      </c>
      <c r="N73" s="2" t="s">
        <v>41</v>
      </c>
      <c r="O73" s="2" t="s">
        <v>75</v>
      </c>
      <c r="P73" s="4">
        <v>19.05</v>
      </c>
      <c r="Q73" s="2">
        <v>3</v>
      </c>
      <c r="R73" s="3">
        <v>0</v>
      </c>
      <c r="S73" s="4">
        <v>8.7629999999999999</v>
      </c>
      <c r="T73" s="2" t="str">
        <f>TEXT(SalesData[[#This Row],[Order Date]],"mmm")</f>
        <v>Sep</v>
      </c>
      <c r="U73" s="2">
        <f>YEAR(SalesData[[#This Row],[Order Date]])</f>
        <v>2017</v>
      </c>
      <c r="V73" s="2" t="str">
        <f>IF(SalesData[[#This Row],[Profit]]&gt;0,"Profit","Loss")</f>
        <v>Profit</v>
      </c>
      <c r="W73" s="2" t="str">
        <f>IF(SalesData[[#This Row],[Profit]]&gt;100,"High Profit",
IF(SalesData[[#This Row],[Profit]]&gt;0,"Low Profit","Loss"))</f>
        <v>Low Profit</v>
      </c>
      <c r="X73" s="2" t="str">
        <f>IF(AND(SalesData[[#This Row],[Sales]]&gt;500,SalesData[[#This Row],[Profit]]&gt;0),"Good Order","Review")</f>
        <v>Review</v>
      </c>
      <c r="Y73" s="2"/>
      <c r="Z73" s="2"/>
      <c r="AA73" s="2"/>
      <c r="AB73" s="2"/>
    </row>
    <row r="74" spans="1:28" x14ac:dyDescent="0.3">
      <c r="A74" s="2">
        <v>73</v>
      </c>
      <c r="B74" s="2" t="s">
        <v>258</v>
      </c>
      <c r="C74" s="5">
        <v>42120</v>
      </c>
      <c r="D74" s="2" t="s">
        <v>44</v>
      </c>
      <c r="E74" s="2" t="s">
        <v>259</v>
      </c>
      <c r="F74" s="2" t="s">
        <v>260</v>
      </c>
      <c r="G74" s="2" t="s">
        <v>23</v>
      </c>
      <c r="H74" s="2" t="s">
        <v>24</v>
      </c>
      <c r="I74" s="2" t="s">
        <v>261</v>
      </c>
      <c r="J74" s="2" t="s">
        <v>262</v>
      </c>
      <c r="K74" s="2">
        <v>38109</v>
      </c>
      <c r="L74" s="2" t="s">
        <v>27</v>
      </c>
      <c r="M74" s="2" t="s">
        <v>263</v>
      </c>
      <c r="N74" s="2" t="s">
        <v>29</v>
      </c>
      <c r="O74" s="2" t="s">
        <v>32</v>
      </c>
      <c r="P74" s="4">
        <v>831.93600000000004</v>
      </c>
      <c r="Q74" s="2">
        <v>8</v>
      </c>
      <c r="R74" s="3">
        <v>0.2</v>
      </c>
      <c r="S74" s="4">
        <v>-114.3912</v>
      </c>
      <c r="T74" s="2" t="str">
        <f>TEXT(SalesData[[#This Row],[Order Date]],"mmm")</f>
        <v>Apr</v>
      </c>
      <c r="U74" s="2">
        <f>YEAR(SalesData[[#This Row],[Order Date]])</f>
        <v>2015</v>
      </c>
      <c r="V74" s="2" t="str">
        <f>IF(SalesData[[#This Row],[Profit]]&gt;0,"Profit","Loss")</f>
        <v>Loss</v>
      </c>
      <c r="W74" s="2" t="str">
        <f>IF(SalesData[[#This Row],[Profit]]&gt;100,"High Profit",
IF(SalesData[[#This Row],[Profit]]&gt;0,"Low Profit","Loss"))</f>
        <v>Loss</v>
      </c>
      <c r="X74" s="2" t="str">
        <f>IF(AND(SalesData[[#This Row],[Sales]]&gt;500,SalesData[[#This Row],[Profit]]&gt;0),"Good Order","Review")</f>
        <v>Review</v>
      </c>
      <c r="Y74" s="2"/>
      <c r="Z74" s="2"/>
      <c r="AA74" s="2"/>
      <c r="AB74" s="2"/>
    </row>
    <row r="75" spans="1:28" x14ac:dyDescent="0.3">
      <c r="A75" s="2">
        <v>74</v>
      </c>
      <c r="B75" s="2" t="s">
        <v>258</v>
      </c>
      <c r="C75" s="5">
        <v>42120</v>
      </c>
      <c r="D75" s="2" t="s">
        <v>44</v>
      </c>
      <c r="E75" s="2" t="s">
        <v>259</v>
      </c>
      <c r="F75" s="2" t="s">
        <v>260</v>
      </c>
      <c r="G75" s="2" t="s">
        <v>23</v>
      </c>
      <c r="H75" s="2" t="s">
        <v>24</v>
      </c>
      <c r="I75" s="2" t="s">
        <v>261</v>
      </c>
      <c r="J75" s="2" t="s">
        <v>262</v>
      </c>
      <c r="K75" s="2">
        <v>38109</v>
      </c>
      <c r="L75" s="2" t="s">
        <v>27</v>
      </c>
      <c r="M75" s="2" t="s">
        <v>264</v>
      </c>
      <c r="N75" s="2" t="s">
        <v>29</v>
      </c>
      <c r="O75" s="2" t="s">
        <v>57</v>
      </c>
      <c r="P75" s="4">
        <v>97.04</v>
      </c>
      <c r="Q75" s="2">
        <v>2</v>
      </c>
      <c r="R75" s="3">
        <v>0.2</v>
      </c>
      <c r="S75" s="4">
        <v>1.2130000000000001</v>
      </c>
      <c r="T75" s="2" t="str">
        <f>TEXT(SalesData[[#This Row],[Order Date]],"mmm")</f>
        <v>Apr</v>
      </c>
      <c r="U75" s="2">
        <f>YEAR(SalesData[[#This Row],[Order Date]])</f>
        <v>2015</v>
      </c>
      <c r="V75" s="2" t="str">
        <f>IF(SalesData[[#This Row],[Profit]]&gt;0,"Profit","Loss")</f>
        <v>Profit</v>
      </c>
      <c r="W75" s="2" t="str">
        <f>IF(SalesData[[#This Row],[Profit]]&gt;100,"High Profit",
IF(SalesData[[#This Row],[Profit]]&gt;0,"Low Profit","Loss"))</f>
        <v>Low Profit</v>
      </c>
      <c r="X75" s="2" t="str">
        <f>IF(AND(SalesData[[#This Row],[Sales]]&gt;500,SalesData[[#This Row],[Profit]]&gt;0),"Good Order","Review")</f>
        <v>Review</v>
      </c>
      <c r="Y75" s="2"/>
      <c r="Z75" s="2"/>
      <c r="AA75" s="2"/>
      <c r="AB75" s="2"/>
    </row>
    <row r="76" spans="1:28" x14ac:dyDescent="0.3">
      <c r="A76" s="2">
        <v>75</v>
      </c>
      <c r="B76" s="2" t="s">
        <v>258</v>
      </c>
      <c r="C76" s="5">
        <v>42120</v>
      </c>
      <c r="D76" s="2" t="s">
        <v>44</v>
      </c>
      <c r="E76" s="2" t="s">
        <v>259</v>
      </c>
      <c r="F76" s="2" t="s">
        <v>260</v>
      </c>
      <c r="G76" s="2" t="s">
        <v>23</v>
      </c>
      <c r="H76" s="2" t="s">
        <v>24</v>
      </c>
      <c r="I76" s="2" t="s">
        <v>261</v>
      </c>
      <c r="J76" s="2" t="s">
        <v>262</v>
      </c>
      <c r="K76" s="2">
        <v>38109</v>
      </c>
      <c r="L76" s="2" t="s">
        <v>27</v>
      </c>
      <c r="M76" s="2" t="s">
        <v>265</v>
      </c>
      <c r="N76" s="2" t="s">
        <v>41</v>
      </c>
      <c r="O76" s="2" t="s">
        <v>52</v>
      </c>
      <c r="P76" s="4">
        <v>72.784000000000006</v>
      </c>
      <c r="Q76" s="2">
        <v>1</v>
      </c>
      <c r="R76" s="3">
        <v>0.2</v>
      </c>
      <c r="S76" s="4">
        <v>-18.196000000000002</v>
      </c>
      <c r="T76" s="2" t="str">
        <f>TEXT(SalesData[[#This Row],[Order Date]],"mmm")</f>
        <v>Apr</v>
      </c>
      <c r="U76" s="2">
        <f>YEAR(SalesData[[#This Row],[Order Date]])</f>
        <v>2015</v>
      </c>
      <c r="V76" s="2" t="str">
        <f>IF(SalesData[[#This Row],[Profit]]&gt;0,"Profit","Loss")</f>
        <v>Loss</v>
      </c>
      <c r="W76" s="2" t="str">
        <f>IF(SalesData[[#This Row],[Profit]]&gt;100,"High Profit",
IF(SalesData[[#This Row],[Profit]]&gt;0,"Low Profit","Loss"))</f>
        <v>Loss</v>
      </c>
      <c r="X76" s="2" t="str">
        <f>IF(AND(SalesData[[#This Row],[Sales]]&gt;500,SalesData[[#This Row],[Profit]]&gt;0),"Good Order","Review")</f>
        <v>Review</v>
      </c>
      <c r="Y76" s="2"/>
      <c r="Z76" s="2"/>
      <c r="AA76" s="2"/>
      <c r="AB76" s="2"/>
    </row>
    <row r="77" spans="1:28" x14ac:dyDescent="0.3">
      <c r="A77" s="2">
        <v>76</v>
      </c>
      <c r="B77" s="2" t="s">
        <v>266</v>
      </c>
      <c r="C77" s="5">
        <v>42990</v>
      </c>
      <c r="D77" s="2" t="s">
        <v>151</v>
      </c>
      <c r="E77" s="2" t="s">
        <v>267</v>
      </c>
      <c r="F77" s="2" t="s">
        <v>268</v>
      </c>
      <c r="G77" s="2" t="s">
        <v>36</v>
      </c>
      <c r="H77" s="2" t="s">
        <v>24</v>
      </c>
      <c r="I77" s="2" t="s">
        <v>148</v>
      </c>
      <c r="J77" s="2" t="s">
        <v>87</v>
      </c>
      <c r="K77" s="2">
        <v>77041</v>
      </c>
      <c r="L77" s="2" t="s">
        <v>88</v>
      </c>
      <c r="M77" s="2" t="s">
        <v>269</v>
      </c>
      <c r="N77" s="2" t="s">
        <v>41</v>
      </c>
      <c r="O77" s="2" t="s">
        <v>64</v>
      </c>
      <c r="P77" s="4">
        <v>1.248</v>
      </c>
      <c r="Q77" s="2">
        <v>3</v>
      </c>
      <c r="R77" s="3">
        <v>0.8</v>
      </c>
      <c r="S77" s="4">
        <v>-1.9343999999999999</v>
      </c>
      <c r="T77" s="2" t="str">
        <f>TEXT(SalesData[[#This Row],[Order Date]],"mmm")</f>
        <v>Sep</v>
      </c>
      <c r="U77" s="2">
        <f>YEAR(SalesData[[#This Row],[Order Date]])</f>
        <v>2017</v>
      </c>
      <c r="V77" s="2" t="str">
        <f>IF(SalesData[[#This Row],[Profit]]&gt;0,"Profit","Loss")</f>
        <v>Loss</v>
      </c>
      <c r="W77" s="2" t="str">
        <f>IF(SalesData[[#This Row],[Profit]]&gt;100,"High Profit",
IF(SalesData[[#This Row],[Profit]]&gt;0,"Low Profit","Loss"))</f>
        <v>Loss</v>
      </c>
      <c r="X77" s="2" t="str">
        <f>IF(AND(SalesData[[#This Row],[Sales]]&gt;500,SalesData[[#This Row],[Profit]]&gt;0),"Good Order","Review")</f>
        <v>Review</v>
      </c>
      <c r="Y77" s="2"/>
      <c r="Z77" s="2"/>
      <c r="AA77" s="2"/>
      <c r="AB77" s="2"/>
    </row>
    <row r="78" spans="1:28" x14ac:dyDescent="0.3">
      <c r="A78" s="2">
        <v>77</v>
      </c>
      <c r="B78" s="2" t="s">
        <v>266</v>
      </c>
      <c r="C78" s="5">
        <v>42990</v>
      </c>
      <c r="D78" s="2" t="s">
        <v>151</v>
      </c>
      <c r="E78" s="2" t="s">
        <v>267</v>
      </c>
      <c r="F78" s="2" t="s">
        <v>268</v>
      </c>
      <c r="G78" s="2" t="s">
        <v>36</v>
      </c>
      <c r="H78" s="2" t="s">
        <v>24</v>
      </c>
      <c r="I78" s="2" t="s">
        <v>148</v>
      </c>
      <c r="J78" s="2" t="s">
        <v>87</v>
      </c>
      <c r="K78" s="2">
        <v>77041</v>
      </c>
      <c r="L78" s="2" t="s">
        <v>88</v>
      </c>
      <c r="M78" s="2" t="s">
        <v>270</v>
      </c>
      <c r="N78" s="2" t="s">
        <v>29</v>
      </c>
      <c r="O78" s="2" t="s">
        <v>57</v>
      </c>
      <c r="P78" s="4">
        <v>9.7080000000000002</v>
      </c>
      <c r="Q78" s="2">
        <v>3</v>
      </c>
      <c r="R78" s="3">
        <v>0.6</v>
      </c>
      <c r="S78" s="4">
        <v>-5.8247999999999998</v>
      </c>
      <c r="T78" s="2" t="str">
        <f>TEXT(SalesData[[#This Row],[Order Date]],"mmm")</f>
        <v>Sep</v>
      </c>
      <c r="U78" s="2">
        <f>YEAR(SalesData[[#This Row],[Order Date]])</f>
        <v>2017</v>
      </c>
      <c r="V78" s="2" t="str">
        <f>IF(SalesData[[#This Row],[Profit]]&gt;0,"Profit","Loss")</f>
        <v>Loss</v>
      </c>
      <c r="W78" s="2" t="str">
        <f>IF(SalesData[[#This Row],[Profit]]&gt;100,"High Profit",
IF(SalesData[[#This Row],[Profit]]&gt;0,"Low Profit","Loss"))</f>
        <v>Loss</v>
      </c>
      <c r="X78" s="2" t="str">
        <f>IF(AND(SalesData[[#This Row],[Sales]]&gt;500,SalesData[[#This Row],[Profit]]&gt;0),"Good Order","Review")</f>
        <v>Review</v>
      </c>
      <c r="Y78" s="2"/>
      <c r="Z78" s="2"/>
      <c r="AA78" s="2"/>
      <c r="AB78" s="2"/>
    </row>
    <row r="79" spans="1:28" x14ac:dyDescent="0.3">
      <c r="A79" s="2">
        <v>78</v>
      </c>
      <c r="B79" s="2" t="s">
        <v>266</v>
      </c>
      <c r="C79" s="5">
        <v>42990</v>
      </c>
      <c r="D79" s="2" t="s">
        <v>151</v>
      </c>
      <c r="E79" s="2" t="s">
        <v>267</v>
      </c>
      <c r="F79" s="2" t="s">
        <v>268</v>
      </c>
      <c r="G79" s="2" t="s">
        <v>36</v>
      </c>
      <c r="H79" s="2" t="s">
        <v>24</v>
      </c>
      <c r="I79" s="2" t="s">
        <v>148</v>
      </c>
      <c r="J79" s="2" t="s">
        <v>87</v>
      </c>
      <c r="K79" s="2">
        <v>77041</v>
      </c>
      <c r="L79" s="2" t="s">
        <v>88</v>
      </c>
      <c r="M79" s="2" t="s">
        <v>271</v>
      </c>
      <c r="N79" s="2" t="s">
        <v>41</v>
      </c>
      <c r="O79" s="2" t="s">
        <v>52</v>
      </c>
      <c r="P79" s="4">
        <v>27.24</v>
      </c>
      <c r="Q79" s="2">
        <v>3</v>
      </c>
      <c r="R79" s="3">
        <v>0.2</v>
      </c>
      <c r="S79" s="4">
        <v>2.7240000000000002</v>
      </c>
      <c r="T79" s="2" t="str">
        <f>TEXT(SalesData[[#This Row],[Order Date]],"mmm")</f>
        <v>Sep</v>
      </c>
      <c r="U79" s="2">
        <f>YEAR(SalesData[[#This Row],[Order Date]])</f>
        <v>2017</v>
      </c>
      <c r="V79" s="2" t="str">
        <f>IF(SalesData[[#This Row],[Profit]]&gt;0,"Profit","Loss")</f>
        <v>Profit</v>
      </c>
      <c r="W79" s="2" t="str">
        <f>IF(SalesData[[#This Row],[Profit]]&gt;100,"High Profit",
IF(SalesData[[#This Row],[Profit]]&gt;0,"Low Profit","Loss"))</f>
        <v>Low Profit</v>
      </c>
      <c r="X79" s="2" t="str">
        <f>IF(AND(SalesData[[#This Row],[Sales]]&gt;500,SalesData[[#This Row],[Profit]]&gt;0),"Good Order","Review")</f>
        <v>Review</v>
      </c>
      <c r="Y79" s="2"/>
      <c r="Z79" s="2"/>
      <c r="AA79" s="2"/>
      <c r="AB79" s="2"/>
    </row>
    <row r="80" spans="1:28" x14ac:dyDescent="0.3">
      <c r="A80" s="2">
        <v>79</v>
      </c>
      <c r="B80" s="2" t="s">
        <v>272</v>
      </c>
      <c r="C80" s="5">
        <v>41969</v>
      </c>
      <c r="D80" s="2" t="s">
        <v>20</v>
      </c>
      <c r="E80" s="2" t="s">
        <v>259</v>
      </c>
      <c r="F80" s="2" t="s">
        <v>260</v>
      </c>
      <c r="G80" s="2" t="s">
        <v>23</v>
      </c>
      <c r="H80" s="2" t="s">
        <v>24</v>
      </c>
      <c r="I80" s="2" t="s">
        <v>148</v>
      </c>
      <c r="J80" s="2" t="s">
        <v>87</v>
      </c>
      <c r="K80" s="2">
        <v>77070</v>
      </c>
      <c r="L80" s="2" t="s">
        <v>88</v>
      </c>
      <c r="M80" s="2" t="s">
        <v>273</v>
      </c>
      <c r="N80" s="2" t="s">
        <v>29</v>
      </c>
      <c r="O80" s="2" t="s">
        <v>57</v>
      </c>
      <c r="P80" s="4">
        <v>19.3</v>
      </c>
      <c r="Q80" s="2">
        <v>5</v>
      </c>
      <c r="R80" s="3">
        <v>0.6</v>
      </c>
      <c r="S80" s="4">
        <v>-14.475</v>
      </c>
      <c r="T80" s="2" t="str">
        <f>TEXT(SalesData[[#This Row],[Order Date]],"mmm")</f>
        <v>Nov</v>
      </c>
      <c r="U80" s="2">
        <f>YEAR(SalesData[[#This Row],[Order Date]])</f>
        <v>2014</v>
      </c>
      <c r="V80" s="2" t="str">
        <f>IF(SalesData[[#This Row],[Profit]]&gt;0,"Profit","Loss")</f>
        <v>Loss</v>
      </c>
      <c r="W80" s="2" t="str">
        <f>IF(SalesData[[#This Row],[Profit]]&gt;100,"High Profit",
IF(SalesData[[#This Row],[Profit]]&gt;0,"Low Profit","Loss"))</f>
        <v>Loss</v>
      </c>
      <c r="X80" s="2" t="str">
        <f>IF(AND(SalesData[[#This Row],[Sales]]&gt;500,SalesData[[#This Row],[Profit]]&gt;0),"Good Order","Review")</f>
        <v>Review</v>
      </c>
      <c r="Y80" s="2"/>
      <c r="Z80" s="2"/>
      <c r="AA80" s="2"/>
      <c r="AB80" s="2"/>
    </row>
    <row r="81" spans="1:28" x14ac:dyDescent="0.3">
      <c r="A81" s="2">
        <v>80</v>
      </c>
      <c r="B81" s="2" t="s">
        <v>274</v>
      </c>
      <c r="C81" s="5">
        <v>42710</v>
      </c>
      <c r="D81" s="2" t="s">
        <v>151</v>
      </c>
      <c r="E81" s="2" t="s">
        <v>275</v>
      </c>
      <c r="F81" s="2" t="s">
        <v>276</v>
      </c>
      <c r="G81" s="2" t="s">
        <v>36</v>
      </c>
      <c r="H81" s="2" t="s">
        <v>24</v>
      </c>
      <c r="I81" s="2" t="s">
        <v>277</v>
      </c>
      <c r="J81" s="2" t="s">
        <v>278</v>
      </c>
      <c r="K81" s="2">
        <v>35601</v>
      </c>
      <c r="L81" s="2" t="s">
        <v>27</v>
      </c>
      <c r="M81" s="2" t="s">
        <v>279</v>
      </c>
      <c r="N81" s="2" t="s">
        <v>41</v>
      </c>
      <c r="O81" s="2" t="s">
        <v>66</v>
      </c>
      <c r="P81" s="4">
        <v>208.16</v>
      </c>
      <c r="Q81" s="2">
        <v>1</v>
      </c>
      <c r="R81" s="3">
        <v>0</v>
      </c>
      <c r="S81" s="4">
        <v>56.203200000000002</v>
      </c>
      <c r="T81" s="2" t="str">
        <f>TEXT(SalesData[[#This Row],[Order Date]],"mmm")</f>
        <v>Dec</v>
      </c>
      <c r="U81" s="2">
        <f>YEAR(SalesData[[#This Row],[Order Date]])</f>
        <v>2016</v>
      </c>
      <c r="V81" s="2" t="str">
        <f>IF(SalesData[[#This Row],[Profit]]&gt;0,"Profit","Loss")</f>
        <v>Profit</v>
      </c>
      <c r="W81" s="2" t="str">
        <f>IF(SalesData[[#This Row],[Profit]]&gt;100,"High Profit",
IF(SalesData[[#This Row],[Profit]]&gt;0,"Low Profit","Loss"))</f>
        <v>Low Profit</v>
      </c>
      <c r="X81" s="2" t="str">
        <f>IF(AND(SalesData[[#This Row],[Sales]]&gt;500,SalesData[[#This Row],[Profit]]&gt;0),"Good Order","Review")</f>
        <v>Review</v>
      </c>
      <c r="Y81" s="2"/>
      <c r="Z81" s="2"/>
      <c r="AA81" s="2"/>
      <c r="AB81" s="2"/>
    </row>
    <row r="82" spans="1:28" x14ac:dyDescent="0.3">
      <c r="A82" s="2">
        <v>81</v>
      </c>
      <c r="B82" s="2" t="s">
        <v>274</v>
      </c>
      <c r="C82" s="5">
        <v>42710</v>
      </c>
      <c r="D82" s="2" t="s">
        <v>151</v>
      </c>
      <c r="E82" s="2" t="s">
        <v>275</v>
      </c>
      <c r="F82" s="2" t="s">
        <v>276</v>
      </c>
      <c r="G82" s="2" t="s">
        <v>36</v>
      </c>
      <c r="H82" s="2" t="s">
        <v>24</v>
      </c>
      <c r="I82" s="2" t="s">
        <v>277</v>
      </c>
      <c r="J82" s="2" t="s">
        <v>278</v>
      </c>
      <c r="K82" s="2">
        <v>35601</v>
      </c>
      <c r="L82" s="2" t="s">
        <v>27</v>
      </c>
      <c r="M82" s="2" t="s">
        <v>280</v>
      </c>
      <c r="N82" s="2" t="s">
        <v>41</v>
      </c>
      <c r="O82" s="2" t="s">
        <v>64</v>
      </c>
      <c r="P82" s="4">
        <v>16.739999999999998</v>
      </c>
      <c r="Q82" s="2">
        <v>3</v>
      </c>
      <c r="R82" s="3">
        <v>0</v>
      </c>
      <c r="S82" s="4">
        <v>8.0351999999999997</v>
      </c>
      <c r="T82" s="2" t="str">
        <f>TEXT(SalesData[[#This Row],[Order Date]],"mmm")</f>
        <v>Dec</v>
      </c>
      <c r="U82" s="2">
        <f>YEAR(SalesData[[#This Row],[Order Date]])</f>
        <v>2016</v>
      </c>
      <c r="V82" s="2" t="str">
        <f>IF(SalesData[[#This Row],[Profit]]&gt;0,"Profit","Loss")</f>
        <v>Profit</v>
      </c>
      <c r="W82" s="2" t="str">
        <f>IF(SalesData[[#This Row],[Profit]]&gt;100,"High Profit",
IF(SalesData[[#This Row],[Profit]]&gt;0,"Low Profit","Loss"))</f>
        <v>Low Profit</v>
      </c>
      <c r="X82" s="2" t="str">
        <f>IF(AND(SalesData[[#This Row],[Sales]]&gt;500,SalesData[[#This Row],[Profit]]&gt;0),"Good Order","Review")</f>
        <v>Review</v>
      </c>
      <c r="Y82" s="2"/>
      <c r="Z82" s="2"/>
      <c r="AA82" s="2"/>
      <c r="AB82" s="2"/>
    </row>
    <row r="83" spans="1:28" x14ac:dyDescent="0.3">
      <c r="A83" s="2">
        <v>82</v>
      </c>
      <c r="B83" s="2" t="s">
        <v>281</v>
      </c>
      <c r="C83" s="5">
        <v>41983</v>
      </c>
      <c r="D83" s="2" t="s">
        <v>44</v>
      </c>
      <c r="E83" s="2" t="s">
        <v>282</v>
      </c>
      <c r="F83" s="2" t="s">
        <v>283</v>
      </c>
      <c r="G83" s="2" t="s">
        <v>23</v>
      </c>
      <c r="H83" s="2" t="s">
        <v>24</v>
      </c>
      <c r="I83" s="2" t="s">
        <v>106</v>
      </c>
      <c r="J83" s="2" t="s">
        <v>38</v>
      </c>
      <c r="K83" s="2">
        <v>94122</v>
      </c>
      <c r="L83" s="2" t="s">
        <v>39</v>
      </c>
      <c r="M83" s="2" t="s">
        <v>284</v>
      </c>
      <c r="N83" s="2" t="s">
        <v>41</v>
      </c>
      <c r="O83" s="2" t="s">
        <v>59</v>
      </c>
      <c r="P83" s="4">
        <v>14.9</v>
      </c>
      <c r="Q83" s="2">
        <v>5</v>
      </c>
      <c r="R83" s="3">
        <v>0</v>
      </c>
      <c r="S83" s="4">
        <v>4.1719999999999997</v>
      </c>
      <c r="T83" s="2" t="str">
        <f>TEXT(SalesData[[#This Row],[Order Date]],"mmm")</f>
        <v>Dec</v>
      </c>
      <c r="U83" s="2">
        <f>YEAR(SalesData[[#This Row],[Order Date]])</f>
        <v>2014</v>
      </c>
      <c r="V83" s="2" t="str">
        <f>IF(SalesData[[#This Row],[Profit]]&gt;0,"Profit","Loss")</f>
        <v>Profit</v>
      </c>
      <c r="W83" s="2" t="str">
        <f>IF(SalesData[[#This Row],[Profit]]&gt;100,"High Profit",
IF(SalesData[[#This Row],[Profit]]&gt;0,"Low Profit","Loss"))</f>
        <v>Low Profit</v>
      </c>
      <c r="X83" s="2" t="str">
        <f>IF(AND(SalesData[[#This Row],[Sales]]&gt;500,SalesData[[#This Row],[Profit]]&gt;0),"Good Order","Review")</f>
        <v>Review</v>
      </c>
      <c r="Y83" s="2"/>
      <c r="Z83" s="2"/>
      <c r="AA83" s="2"/>
      <c r="AB83" s="2"/>
    </row>
    <row r="84" spans="1:28" x14ac:dyDescent="0.3">
      <c r="A84" s="2">
        <v>83</v>
      </c>
      <c r="B84" s="2" t="s">
        <v>281</v>
      </c>
      <c r="C84" s="5">
        <v>41983</v>
      </c>
      <c r="D84" s="2" t="s">
        <v>44</v>
      </c>
      <c r="E84" s="2" t="s">
        <v>282</v>
      </c>
      <c r="F84" s="2" t="s">
        <v>283</v>
      </c>
      <c r="G84" s="2" t="s">
        <v>23</v>
      </c>
      <c r="H84" s="2" t="s">
        <v>24</v>
      </c>
      <c r="I84" s="2" t="s">
        <v>106</v>
      </c>
      <c r="J84" s="2" t="s">
        <v>38</v>
      </c>
      <c r="K84" s="2">
        <v>94122</v>
      </c>
      <c r="L84" s="2" t="s">
        <v>39</v>
      </c>
      <c r="M84" s="2" t="s">
        <v>285</v>
      </c>
      <c r="N84" s="2" t="s">
        <v>41</v>
      </c>
      <c r="O84" s="2" t="s">
        <v>52</v>
      </c>
      <c r="P84" s="4">
        <v>21.39</v>
      </c>
      <c r="Q84" s="2">
        <v>1</v>
      </c>
      <c r="R84" s="3">
        <v>0</v>
      </c>
      <c r="S84" s="4">
        <v>6.2031000000000001</v>
      </c>
      <c r="T84" s="2" t="str">
        <f>TEXT(SalesData[[#This Row],[Order Date]],"mmm")</f>
        <v>Dec</v>
      </c>
      <c r="U84" s="2">
        <f>YEAR(SalesData[[#This Row],[Order Date]])</f>
        <v>2014</v>
      </c>
      <c r="V84" s="2" t="str">
        <f>IF(SalesData[[#This Row],[Profit]]&gt;0,"Profit","Loss")</f>
        <v>Profit</v>
      </c>
      <c r="W84" s="2" t="str">
        <f>IF(SalesData[[#This Row],[Profit]]&gt;100,"High Profit",
IF(SalesData[[#This Row],[Profit]]&gt;0,"Low Profit","Loss"))</f>
        <v>Low Profit</v>
      </c>
      <c r="X84" s="2" t="str">
        <f>IF(AND(SalesData[[#This Row],[Sales]]&gt;500,SalesData[[#This Row],[Profit]]&gt;0),"Good Order","Review")</f>
        <v>Review</v>
      </c>
      <c r="Y84" s="2"/>
      <c r="Z84" s="2"/>
      <c r="AA84" s="2"/>
      <c r="AB84" s="2"/>
    </row>
    <row r="85" spans="1:28" x14ac:dyDescent="0.3">
      <c r="A85" s="2">
        <v>84</v>
      </c>
      <c r="B85" s="2" t="s">
        <v>286</v>
      </c>
      <c r="C85" s="5">
        <v>42072</v>
      </c>
      <c r="D85" s="2" t="s">
        <v>44</v>
      </c>
      <c r="E85" s="2" t="s">
        <v>287</v>
      </c>
      <c r="F85" s="2" t="s">
        <v>288</v>
      </c>
      <c r="G85" s="2" t="s">
        <v>36</v>
      </c>
      <c r="H85" s="2" t="s">
        <v>24</v>
      </c>
      <c r="I85" s="2" t="s">
        <v>289</v>
      </c>
      <c r="J85" s="2" t="s">
        <v>73</v>
      </c>
      <c r="K85" s="2">
        <v>27707</v>
      </c>
      <c r="L85" s="2" t="s">
        <v>27</v>
      </c>
      <c r="M85" s="2" t="s">
        <v>290</v>
      </c>
      <c r="N85" s="2" t="s">
        <v>41</v>
      </c>
      <c r="O85" s="2" t="s">
        <v>141</v>
      </c>
      <c r="P85" s="4">
        <v>200.98400000000001</v>
      </c>
      <c r="Q85" s="2">
        <v>7</v>
      </c>
      <c r="R85" s="3">
        <v>0.2</v>
      </c>
      <c r="S85" s="4">
        <v>62.807499999999997</v>
      </c>
      <c r="T85" s="2" t="str">
        <f>TEXT(SalesData[[#This Row],[Order Date]],"mmm")</f>
        <v>Mar</v>
      </c>
      <c r="U85" s="2">
        <f>YEAR(SalesData[[#This Row],[Order Date]])</f>
        <v>2015</v>
      </c>
      <c r="V85" s="2" t="str">
        <f>IF(SalesData[[#This Row],[Profit]]&gt;0,"Profit","Loss")</f>
        <v>Profit</v>
      </c>
      <c r="W85" s="2" t="str">
        <f>IF(SalesData[[#This Row],[Profit]]&gt;100,"High Profit",
IF(SalesData[[#This Row],[Profit]]&gt;0,"Low Profit","Loss"))</f>
        <v>Low Profit</v>
      </c>
      <c r="X85" s="2" t="str">
        <f>IF(AND(SalesData[[#This Row],[Sales]]&gt;500,SalesData[[#This Row],[Profit]]&gt;0),"Good Order","Review")</f>
        <v>Review</v>
      </c>
      <c r="Y85" s="2"/>
      <c r="Z85" s="2"/>
      <c r="AA85" s="2"/>
      <c r="AB85" s="2"/>
    </row>
    <row r="86" spans="1:28" x14ac:dyDescent="0.3">
      <c r="A86" s="2">
        <v>85</v>
      </c>
      <c r="B86" s="2" t="s">
        <v>291</v>
      </c>
      <c r="C86" s="5">
        <v>43054</v>
      </c>
      <c r="D86" s="2" t="s">
        <v>151</v>
      </c>
      <c r="E86" s="2" t="s">
        <v>292</v>
      </c>
      <c r="F86" s="2" t="s">
        <v>293</v>
      </c>
      <c r="G86" s="2" t="s">
        <v>85</v>
      </c>
      <c r="H86" s="2" t="s">
        <v>24</v>
      </c>
      <c r="I86" s="2" t="s">
        <v>236</v>
      </c>
      <c r="J86" s="2" t="s">
        <v>168</v>
      </c>
      <c r="K86" s="2">
        <v>60623</v>
      </c>
      <c r="L86" s="2" t="s">
        <v>88</v>
      </c>
      <c r="M86" s="2" t="s">
        <v>294</v>
      </c>
      <c r="N86" s="2" t="s">
        <v>41</v>
      </c>
      <c r="O86" s="2" t="s">
        <v>52</v>
      </c>
      <c r="P86" s="4">
        <v>230.376</v>
      </c>
      <c r="Q86" s="2">
        <v>3</v>
      </c>
      <c r="R86" s="3">
        <v>0.2</v>
      </c>
      <c r="S86" s="4">
        <v>-48.954900000000002</v>
      </c>
      <c r="T86" s="2" t="str">
        <f>TEXT(SalesData[[#This Row],[Order Date]],"mmm")</f>
        <v>Nov</v>
      </c>
      <c r="U86" s="2">
        <f>YEAR(SalesData[[#This Row],[Order Date]])</f>
        <v>2017</v>
      </c>
      <c r="V86" s="2" t="str">
        <f>IF(SalesData[[#This Row],[Profit]]&gt;0,"Profit","Loss")</f>
        <v>Loss</v>
      </c>
      <c r="W86" s="2" t="str">
        <f>IF(SalesData[[#This Row],[Profit]]&gt;100,"High Profit",
IF(SalesData[[#This Row],[Profit]]&gt;0,"Low Profit","Loss"))</f>
        <v>Loss</v>
      </c>
      <c r="X86" s="2" t="str">
        <f>IF(AND(SalesData[[#This Row],[Sales]]&gt;500,SalesData[[#This Row],[Profit]]&gt;0),"Good Order","Review")</f>
        <v>Review</v>
      </c>
      <c r="Y86" s="2"/>
      <c r="Z86" s="2"/>
      <c r="AA86" s="2"/>
      <c r="AB86" s="2"/>
    </row>
    <row r="87" spans="1:28" x14ac:dyDescent="0.3">
      <c r="A87" s="2">
        <v>86</v>
      </c>
      <c r="B87" s="2" t="s">
        <v>295</v>
      </c>
      <c r="C87" s="5">
        <v>42883</v>
      </c>
      <c r="D87" s="2" t="s">
        <v>20</v>
      </c>
      <c r="E87" s="2" t="s">
        <v>187</v>
      </c>
      <c r="F87" s="2" t="s">
        <v>188</v>
      </c>
      <c r="G87" s="2" t="s">
        <v>23</v>
      </c>
      <c r="H87" s="2" t="s">
        <v>24</v>
      </c>
      <c r="I87" s="2" t="s">
        <v>296</v>
      </c>
      <c r="J87" s="2" t="s">
        <v>297</v>
      </c>
      <c r="K87" s="2">
        <v>29203</v>
      </c>
      <c r="L87" s="2" t="s">
        <v>27</v>
      </c>
      <c r="M87" s="2" t="s">
        <v>298</v>
      </c>
      <c r="N87" s="2" t="s">
        <v>29</v>
      </c>
      <c r="O87" s="2" t="s">
        <v>32</v>
      </c>
      <c r="P87" s="4">
        <v>301.95999999999998</v>
      </c>
      <c r="Q87" s="2">
        <v>2</v>
      </c>
      <c r="R87" s="3">
        <v>0</v>
      </c>
      <c r="S87" s="4">
        <v>33.215600000000002</v>
      </c>
      <c r="T87" s="2" t="str">
        <f>TEXT(SalesData[[#This Row],[Order Date]],"mmm")</f>
        <v>May</v>
      </c>
      <c r="U87" s="2">
        <f>YEAR(SalesData[[#This Row],[Order Date]])</f>
        <v>2017</v>
      </c>
      <c r="V87" s="2" t="str">
        <f>IF(SalesData[[#This Row],[Profit]]&gt;0,"Profit","Loss")</f>
        <v>Profit</v>
      </c>
      <c r="W87" s="2" t="str">
        <f>IF(SalesData[[#This Row],[Profit]]&gt;100,"High Profit",
IF(SalesData[[#This Row],[Profit]]&gt;0,"Low Profit","Loss"))</f>
        <v>Low Profit</v>
      </c>
      <c r="X87" s="2" t="str">
        <f>IF(AND(SalesData[[#This Row],[Sales]]&gt;500,SalesData[[#This Row],[Profit]]&gt;0),"Good Order","Review")</f>
        <v>Review</v>
      </c>
      <c r="Y87" s="2"/>
      <c r="Z87" s="2"/>
      <c r="AA87" s="2"/>
      <c r="AB87" s="2"/>
    </row>
    <row r="88" spans="1:28" x14ac:dyDescent="0.3">
      <c r="A88" s="2">
        <v>87</v>
      </c>
      <c r="B88" s="2" t="s">
        <v>299</v>
      </c>
      <c r="C88" s="5">
        <v>43034</v>
      </c>
      <c r="D88" s="2" t="s">
        <v>44</v>
      </c>
      <c r="E88" s="2" t="s">
        <v>300</v>
      </c>
      <c r="F88" s="2" t="s">
        <v>301</v>
      </c>
      <c r="G88" s="2" t="s">
        <v>23</v>
      </c>
      <c r="H88" s="2" t="s">
        <v>24</v>
      </c>
      <c r="I88" s="2" t="s">
        <v>302</v>
      </c>
      <c r="J88" s="2" t="s">
        <v>183</v>
      </c>
      <c r="K88" s="2">
        <v>55901</v>
      </c>
      <c r="L88" s="2" t="s">
        <v>88</v>
      </c>
      <c r="M88" s="2" t="s">
        <v>303</v>
      </c>
      <c r="N88" s="2" t="s">
        <v>61</v>
      </c>
      <c r="O88" s="2" t="s">
        <v>133</v>
      </c>
      <c r="P88" s="4">
        <v>19.989999999999998</v>
      </c>
      <c r="Q88" s="2">
        <v>1</v>
      </c>
      <c r="R88" s="3">
        <v>0</v>
      </c>
      <c r="S88" s="4">
        <v>6.7965999999999998</v>
      </c>
      <c r="T88" s="2" t="str">
        <f>TEXT(SalesData[[#This Row],[Order Date]],"mmm")</f>
        <v>Oct</v>
      </c>
      <c r="U88" s="2">
        <f>YEAR(SalesData[[#This Row],[Order Date]])</f>
        <v>2017</v>
      </c>
      <c r="V88" s="2" t="str">
        <f>IF(SalesData[[#This Row],[Profit]]&gt;0,"Profit","Loss")</f>
        <v>Profit</v>
      </c>
      <c r="W88" s="2" t="str">
        <f>IF(SalesData[[#This Row],[Profit]]&gt;100,"High Profit",
IF(SalesData[[#This Row],[Profit]]&gt;0,"Low Profit","Loss"))</f>
        <v>Low Profit</v>
      </c>
      <c r="X88" s="2" t="str">
        <f>IF(AND(SalesData[[#This Row],[Sales]]&gt;500,SalesData[[#This Row],[Profit]]&gt;0),"Good Order","Review")</f>
        <v>Review</v>
      </c>
      <c r="Y88" s="2"/>
      <c r="Z88" s="2"/>
      <c r="AA88" s="2"/>
      <c r="AB88" s="2"/>
    </row>
    <row r="89" spans="1:28" x14ac:dyDescent="0.3">
      <c r="A89" s="2">
        <v>88</v>
      </c>
      <c r="B89" s="2" t="s">
        <v>299</v>
      </c>
      <c r="C89" s="5">
        <v>43034</v>
      </c>
      <c r="D89" s="2" t="s">
        <v>44</v>
      </c>
      <c r="E89" s="2" t="s">
        <v>300</v>
      </c>
      <c r="F89" s="2" t="s">
        <v>301</v>
      </c>
      <c r="G89" s="2" t="s">
        <v>23</v>
      </c>
      <c r="H89" s="2" t="s">
        <v>24</v>
      </c>
      <c r="I89" s="2" t="s">
        <v>302</v>
      </c>
      <c r="J89" s="2" t="s">
        <v>183</v>
      </c>
      <c r="K89" s="2">
        <v>55901</v>
      </c>
      <c r="L89" s="2" t="s">
        <v>88</v>
      </c>
      <c r="M89" s="2" t="s">
        <v>304</v>
      </c>
      <c r="N89" s="2" t="s">
        <v>41</v>
      </c>
      <c r="O89" s="2" t="s">
        <v>42</v>
      </c>
      <c r="P89" s="4">
        <v>6.16</v>
      </c>
      <c r="Q89" s="2">
        <v>2</v>
      </c>
      <c r="R89" s="3">
        <v>0</v>
      </c>
      <c r="S89" s="4">
        <v>2.9567999999999999</v>
      </c>
      <c r="T89" s="2" t="str">
        <f>TEXT(SalesData[[#This Row],[Order Date]],"mmm")</f>
        <v>Oct</v>
      </c>
      <c r="U89" s="2">
        <f>YEAR(SalesData[[#This Row],[Order Date]])</f>
        <v>2017</v>
      </c>
      <c r="V89" s="2" t="str">
        <f>IF(SalesData[[#This Row],[Profit]]&gt;0,"Profit","Loss")</f>
        <v>Profit</v>
      </c>
      <c r="W89" s="2" t="str">
        <f>IF(SalesData[[#This Row],[Profit]]&gt;100,"High Profit",
IF(SalesData[[#This Row],[Profit]]&gt;0,"Low Profit","Loss"))</f>
        <v>Low Profit</v>
      </c>
      <c r="X89" s="2" t="str">
        <f>IF(AND(SalesData[[#This Row],[Sales]]&gt;500,SalesData[[#This Row],[Profit]]&gt;0),"Good Order","Review")</f>
        <v>Review</v>
      </c>
      <c r="Y89" s="2"/>
      <c r="Z89" s="2"/>
      <c r="AA89" s="2"/>
      <c r="AB89" s="2"/>
    </row>
    <row r="90" spans="1:28" x14ac:dyDescent="0.3">
      <c r="A90" s="2">
        <v>89</v>
      </c>
      <c r="B90" s="2" t="s">
        <v>305</v>
      </c>
      <c r="C90" s="5">
        <v>42494</v>
      </c>
      <c r="D90" s="2" t="s">
        <v>20</v>
      </c>
      <c r="E90" s="2" t="s">
        <v>306</v>
      </c>
      <c r="F90" s="2" t="s">
        <v>307</v>
      </c>
      <c r="G90" s="2" t="s">
        <v>85</v>
      </c>
      <c r="H90" s="2" t="s">
        <v>24</v>
      </c>
      <c r="I90" s="2" t="s">
        <v>148</v>
      </c>
      <c r="J90" s="2" t="s">
        <v>87</v>
      </c>
      <c r="K90" s="2">
        <v>77095</v>
      </c>
      <c r="L90" s="2" t="s">
        <v>88</v>
      </c>
      <c r="M90" s="2" t="s">
        <v>308</v>
      </c>
      <c r="N90" s="2" t="s">
        <v>41</v>
      </c>
      <c r="O90" s="2" t="s">
        <v>52</v>
      </c>
      <c r="P90" s="4">
        <v>158.36799999999999</v>
      </c>
      <c r="Q90" s="2">
        <v>7</v>
      </c>
      <c r="R90" s="3">
        <v>0.2</v>
      </c>
      <c r="S90" s="4">
        <v>13.857200000000001</v>
      </c>
      <c r="T90" s="2" t="str">
        <f>TEXT(SalesData[[#This Row],[Order Date]],"mmm")</f>
        <v>May</v>
      </c>
      <c r="U90" s="2">
        <f>YEAR(SalesData[[#This Row],[Order Date]])</f>
        <v>2016</v>
      </c>
      <c r="V90" s="2" t="str">
        <f>IF(SalesData[[#This Row],[Profit]]&gt;0,"Profit","Loss")</f>
        <v>Profit</v>
      </c>
      <c r="W90" s="2" t="str">
        <f>IF(SalesData[[#This Row],[Profit]]&gt;100,"High Profit",
IF(SalesData[[#This Row],[Profit]]&gt;0,"Low Profit","Loss"))</f>
        <v>Low Profit</v>
      </c>
      <c r="X90" s="2" t="str">
        <f>IF(AND(SalesData[[#This Row],[Sales]]&gt;500,SalesData[[#This Row],[Profit]]&gt;0),"Good Order","Review")</f>
        <v>Review</v>
      </c>
      <c r="Y90" s="2"/>
      <c r="Z90" s="2"/>
      <c r="AA90" s="2"/>
      <c r="AB90" s="2"/>
    </row>
    <row r="91" spans="1:28" x14ac:dyDescent="0.3">
      <c r="A91" s="2">
        <v>90</v>
      </c>
      <c r="B91" s="2" t="s">
        <v>309</v>
      </c>
      <c r="C91" s="5">
        <v>42630</v>
      </c>
      <c r="D91" s="2" t="s">
        <v>44</v>
      </c>
      <c r="E91" s="2" t="s">
        <v>310</v>
      </c>
      <c r="F91" s="2" t="s">
        <v>311</v>
      </c>
      <c r="G91" s="2" t="s">
        <v>36</v>
      </c>
      <c r="H91" s="2" t="s">
        <v>24</v>
      </c>
      <c r="I91" s="2" t="s">
        <v>37</v>
      </c>
      <c r="J91" s="2" t="s">
        <v>38</v>
      </c>
      <c r="K91" s="2">
        <v>90036</v>
      </c>
      <c r="L91" s="2" t="s">
        <v>39</v>
      </c>
      <c r="M91" s="2" t="s">
        <v>312</v>
      </c>
      <c r="N91" s="2" t="s">
        <v>41</v>
      </c>
      <c r="O91" s="2" t="s">
        <v>59</v>
      </c>
      <c r="P91" s="4">
        <v>20.100000000000001</v>
      </c>
      <c r="Q91" s="2">
        <v>3</v>
      </c>
      <c r="R91" s="3">
        <v>0</v>
      </c>
      <c r="S91" s="4">
        <v>6.633</v>
      </c>
      <c r="T91" s="2" t="str">
        <f>TEXT(SalesData[[#This Row],[Order Date]],"mmm")</f>
        <v>Sep</v>
      </c>
      <c r="U91" s="2">
        <f>YEAR(SalesData[[#This Row],[Order Date]])</f>
        <v>2016</v>
      </c>
      <c r="V91" s="2" t="str">
        <f>IF(SalesData[[#This Row],[Profit]]&gt;0,"Profit","Loss")</f>
        <v>Profit</v>
      </c>
      <c r="W91" s="2" t="str">
        <f>IF(SalesData[[#This Row],[Profit]]&gt;100,"High Profit",
IF(SalesData[[#This Row],[Profit]]&gt;0,"Low Profit","Loss"))</f>
        <v>Low Profit</v>
      </c>
      <c r="X91" s="2" t="str">
        <f>IF(AND(SalesData[[#This Row],[Sales]]&gt;500,SalesData[[#This Row],[Profit]]&gt;0),"Good Order","Review")</f>
        <v>Review</v>
      </c>
      <c r="Y91" s="2"/>
      <c r="Z91" s="2"/>
      <c r="AA91" s="2"/>
      <c r="AB91" s="2"/>
    </row>
    <row r="92" spans="1:28" x14ac:dyDescent="0.3">
      <c r="A92" s="2">
        <v>91</v>
      </c>
      <c r="B92" s="2" t="s">
        <v>309</v>
      </c>
      <c r="C92" s="5">
        <v>42630</v>
      </c>
      <c r="D92" s="2" t="s">
        <v>44</v>
      </c>
      <c r="E92" s="2" t="s">
        <v>310</v>
      </c>
      <c r="F92" s="2" t="s">
        <v>311</v>
      </c>
      <c r="G92" s="2" t="s">
        <v>36</v>
      </c>
      <c r="H92" s="2" t="s">
        <v>24</v>
      </c>
      <c r="I92" s="2" t="s">
        <v>37</v>
      </c>
      <c r="J92" s="2" t="s">
        <v>38</v>
      </c>
      <c r="K92" s="2">
        <v>90036</v>
      </c>
      <c r="L92" s="2" t="s">
        <v>39</v>
      </c>
      <c r="M92" s="2" t="s">
        <v>169</v>
      </c>
      <c r="N92" s="2" t="s">
        <v>61</v>
      </c>
      <c r="O92" s="2" t="s">
        <v>62</v>
      </c>
      <c r="P92" s="4">
        <v>73.584000000000003</v>
      </c>
      <c r="Q92" s="2">
        <v>2</v>
      </c>
      <c r="R92" s="3">
        <v>0.2</v>
      </c>
      <c r="S92" s="4">
        <v>8.2782</v>
      </c>
      <c r="T92" s="2" t="str">
        <f>TEXT(SalesData[[#This Row],[Order Date]],"mmm")</f>
        <v>Sep</v>
      </c>
      <c r="U92" s="2">
        <f>YEAR(SalesData[[#This Row],[Order Date]])</f>
        <v>2016</v>
      </c>
      <c r="V92" s="2" t="str">
        <f>IF(SalesData[[#This Row],[Profit]]&gt;0,"Profit","Loss")</f>
        <v>Profit</v>
      </c>
      <c r="W92" s="2" t="str">
        <f>IF(SalesData[[#This Row],[Profit]]&gt;100,"High Profit",
IF(SalesData[[#This Row],[Profit]]&gt;0,"Low Profit","Loss"))</f>
        <v>Low Profit</v>
      </c>
      <c r="X92" s="2" t="str">
        <f>IF(AND(SalesData[[#This Row],[Sales]]&gt;500,SalesData[[#This Row],[Profit]]&gt;0),"Good Order","Review")</f>
        <v>Review</v>
      </c>
      <c r="Y92" s="2"/>
      <c r="Z92" s="2"/>
      <c r="AA92" s="2"/>
      <c r="AB92" s="2"/>
    </row>
    <row r="93" spans="1:28" x14ac:dyDescent="0.3">
      <c r="A93" s="2">
        <v>92</v>
      </c>
      <c r="B93" s="2" t="s">
        <v>309</v>
      </c>
      <c r="C93" s="5">
        <v>42630</v>
      </c>
      <c r="D93" s="2" t="s">
        <v>44</v>
      </c>
      <c r="E93" s="2" t="s">
        <v>310</v>
      </c>
      <c r="F93" s="2" t="s">
        <v>311</v>
      </c>
      <c r="G93" s="2" t="s">
        <v>36</v>
      </c>
      <c r="H93" s="2" t="s">
        <v>24</v>
      </c>
      <c r="I93" s="2" t="s">
        <v>37</v>
      </c>
      <c r="J93" s="2" t="s">
        <v>38</v>
      </c>
      <c r="K93" s="2">
        <v>90036</v>
      </c>
      <c r="L93" s="2" t="s">
        <v>39</v>
      </c>
      <c r="M93" s="2" t="s">
        <v>313</v>
      </c>
      <c r="N93" s="2" t="s">
        <v>41</v>
      </c>
      <c r="O93" s="2" t="s">
        <v>75</v>
      </c>
      <c r="P93" s="4">
        <v>6.48</v>
      </c>
      <c r="Q93" s="2">
        <v>1</v>
      </c>
      <c r="R93" s="3">
        <v>0</v>
      </c>
      <c r="S93" s="4">
        <v>3.1103999999999998</v>
      </c>
      <c r="T93" s="2" t="str">
        <f>TEXT(SalesData[[#This Row],[Order Date]],"mmm")</f>
        <v>Sep</v>
      </c>
      <c r="U93" s="2">
        <f>YEAR(SalesData[[#This Row],[Order Date]])</f>
        <v>2016</v>
      </c>
      <c r="V93" s="2" t="str">
        <f>IF(SalesData[[#This Row],[Profit]]&gt;0,"Profit","Loss")</f>
        <v>Profit</v>
      </c>
      <c r="W93" s="2" t="str">
        <f>IF(SalesData[[#This Row],[Profit]]&gt;100,"High Profit",
IF(SalesData[[#This Row],[Profit]]&gt;0,"Low Profit","Loss"))</f>
        <v>Low Profit</v>
      </c>
      <c r="X93" s="2" t="str">
        <f>IF(AND(SalesData[[#This Row],[Sales]]&gt;500,SalesData[[#This Row],[Profit]]&gt;0),"Good Order","Review")</f>
        <v>Review</v>
      </c>
      <c r="Y93" s="2"/>
      <c r="Z93" s="2"/>
      <c r="AA93" s="2"/>
      <c r="AB93" s="2"/>
    </row>
    <row r="94" spans="1:28" x14ac:dyDescent="0.3">
      <c r="A94" s="2">
        <v>93</v>
      </c>
      <c r="B94" s="2" t="s">
        <v>314</v>
      </c>
      <c r="C94" s="5">
        <v>42035</v>
      </c>
      <c r="D94" s="2" t="s">
        <v>20</v>
      </c>
      <c r="E94" s="2" t="s">
        <v>315</v>
      </c>
      <c r="F94" s="2" t="s">
        <v>316</v>
      </c>
      <c r="G94" s="2" t="s">
        <v>23</v>
      </c>
      <c r="H94" s="2" t="s">
        <v>24</v>
      </c>
      <c r="I94" s="2" t="s">
        <v>317</v>
      </c>
      <c r="J94" s="2" t="s">
        <v>183</v>
      </c>
      <c r="K94" s="2">
        <v>55407</v>
      </c>
      <c r="L94" s="2" t="s">
        <v>88</v>
      </c>
      <c r="M94" s="2" t="s">
        <v>318</v>
      </c>
      <c r="N94" s="2" t="s">
        <v>41</v>
      </c>
      <c r="O94" s="2" t="s">
        <v>75</v>
      </c>
      <c r="P94" s="4">
        <v>12.96</v>
      </c>
      <c r="Q94" s="2">
        <v>2</v>
      </c>
      <c r="R94" s="3">
        <v>0</v>
      </c>
      <c r="S94" s="4">
        <v>6.2207999999999997</v>
      </c>
      <c r="T94" s="2" t="str">
        <f>TEXT(SalesData[[#This Row],[Order Date]],"mmm")</f>
        <v>Jan</v>
      </c>
      <c r="U94" s="2">
        <f>YEAR(SalesData[[#This Row],[Order Date]])</f>
        <v>2015</v>
      </c>
      <c r="V94" s="2" t="str">
        <f>IF(SalesData[[#This Row],[Profit]]&gt;0,"Profit","Loss")</f>
        <v>Profit</v>
      </c>
      <c r="W94" s="2" t="str">
        <f>IF(SalesData[[#This Row],[Profit]]&gt;100,"High Profit",
IF(SalesData[[#This Row],[Profit]]&gt;0,"Low Profit","Loss"))</f>
        <v>Low Profit</v>
      </c>
      <c r="X94" s="2" t="str">
        <f>IF(AND(SalesData[[#This Row],[Sales]]&gt;500,SalesData[[#This Row],[Profit]]&gt;0),"Good Order","Review")</f>
        <v>Review</v>
      </c>
      <c r="Y94" s="2"/>
      <c r="Z94" s="2"/>
      <c r="AA94" s="2"/>
      <c r="AB94" s="2"/>
    </row>
    <row r="95" spans="1:28" x14ac:dyDescent="0.3">
      <c r="A95" s="2">
        <v>94</v>
      </c>
      <c r="B95" s="2" t="s">
        <v>314</v>
      </c>
      <c r="C95" s="5">
        <v>42035</v>
      </c>
      <c r="D95" s="2" t="s">
        <v>20</v>
      </c>
      <c r="E95" s="2" t="s">
        <v>315</v>
      </c>
      <c r="F95" s="2" t="s">
        <v>316</v>
      </c>
      <c r="G95" s="2" t="s">
        <v>23</v>
      </c>
      <c r="H95" s="2" t="s">
        <v>24</v>
      </c>
      <c r="I95" s="2" t="s">
        <v>317</v>
      </c>
      <c r="J95" s="2" t="s">
        <v>183</v>
      </c>
      <c r="K95" s="2">
        <v>55407</v>
      </c>
      <c r="L95" s="2" t="s">
        <v>88</v>
      </c>
      <c r="M95" s="2" t="s">
        <v>319</v>
      </c>
      <c r="N95" s="2" t="s">
        <v>29</v>
      </c>
      <c r="O95" s="2" t="s">
        <v>57</v>
      </c>
      <c r="P95" s="4">
        <v>53.34</v>
      </c>
      <c r="Q95" s="2">
        <v>3</v>
      </c>
      <c r="R95" s="3">
        <v>0</v>
      </c>
      <c r="S95" s="4">
        <v>16.535399999999999</v>
      </c>
      <c r="T95" s="2" t="str">
        <f>TEXT(SalesData[[#This Row],[Order Date]],"mmm")</f>
        <v>Jan</v>
      </c>
      <c r="U95" s="2">
        <f>YEAR(SalesData[[#This Row],[Order Date]])</f>
        <v>2015</v>
      </c>
      <c r="V95" s="2" t="str">
        <f>IF(SalesData[[#This Row],[Profit]]&gt;0,"Profit","Loss")</f>
        <v>Profit</v>
      </c>
      <c r="W95" s="2" t="str">
        <f>IF(SalesData[[#This Row],[Profit]]&gt;100,"High Profit",
IF(SalesData[[#This Row],[Profit]]&gt;0,"Low Profit","Loss"))</f>
        <v>Low Profit</v>
      </c>
      <c r="X95" s="2" t="str">
        <f>IF(AND(SalesData[[#This Row],[Sales]]&gt;500,SalesData[[#This Row],[Profit]]&gt;0),"Good Order","Review")</f>
        <v>Review</v>
      </c>
      <c r="Y95" s="2"/>
      <c r="Z95" s="2"/>
      <c r="AA95" s="2"/>
      <c r="AB95" s="2"/>
    </row>
    <row r="96" spans="1:28" x14ac:dyDescent="0.3">
      <c r="A96" s="2">
        <v>95</v>
      </c>
      <c r="B96" s="2" t="s">
        <v>314</v>
      </c>
      <c r="C96" s="5">
        <v>42035</v>
      </c>
      <c r="D96" s="2" t="s">
        <v>20</v>
      </c>
      <c r="E96" s="2" t="s">
        <v>315</v>
      </c>
      <c r="F96" s="2" t="s">
        <v>316</v>
      </c>
      <c r="G96" s="2" t="s">
        <v>23</v>
      </c>
      <c r="H96" s="2" t="s">
        <v>24</v>
      </c>
      <c r="I96" s="2" t="s">
        <v>317</v>
      </c>
      <c r="J96" s="2" t="s">
        <v>183</v>
      </c>
      <c r="K96" s="2">
        <v>55407</v>
      </c>
      <c r="L96" s="2" t="s">
        <v>88</v>
      </c>
      <c r="M96" s="2" t="s">
        <v>320</v>
      </c>
      <c r="N96" s="2" t="s">
        <v>41</v>
      </c>
      <c r="O96" s="2" t="s">
        <v>64</v>
      </c>
      <c r="P96" s="4">
        <v>32.96</v>
      </c>
      <c r="Q96" s="2">
        <v>2</v>
      </c>
      <c r="R96" s="3">
        <v>0</v>
      </c>
      <c r="S96" s="4">
        <v>16.150400000000001</v>
      </c>
      <c r="T96" s="2" t="str">
        <f>TEXT(SalesData[[#This Row],[Order Date]],"mmm")</f>
        <v>Jan</v>
      </c>
      <c r="U96" s="2">
        <f>YEAR(SalesData[[#This Row],[Order Date]])</f>
        <v>2015</v>
      </c>
      <c r="V96" s="2" t="str">
        <f>IF(SalesData[[#This Row],[Profit]]&gt;0,"Profit","Loss")</f>
        <v>Profit</v>
      </c>
      <c r="W96" s="2" t="str">
        <f>IF(SalesData[[#This Row],[Profit]]&gt;100,"High Profit",
IF(SalesData[[#This Row],[Profit]]&gt;0,"Low Profit","Loss"))</f>
        <v>Low Profit</v>
      </c>
      <c r="X96" s="2" t="str">
        <f>IF(AND(SalesData[[#This Row],[Sales]]&gt;500,SalesData[[#This Row],[Profit]]&gt;0),"Good Order","Review")</f>
        <v>Review</v>
      </c>
      <c r="Y96" s="2"/>
      <c r="Z96" s="2"/>
      <c r="AA96" s="2"/>
      <c r="AB96" s="2"/>
    </row>
    <row r="97" spans="1:28" x14ac:dyDescent="0.3">
      <c r="A97" s="2">
        <v>96</v>
      </c>
      <c r="B97" s="2" t="s">
        <v>321</v>
      </c>
      <c r="C97" s="5">
        <v>42897</v>
      </c>
      <c r="D97" s="2" t="s">
        <v>44</v>
      </c>
      <c r="E97" s="2" t="s">
        <v>322</v>
      </c>
      <c r="F97" s="2" t="s">
        <v>323</v>
      </c>
      <c r="G97" s="2" t="s">
        <v>85</v>
      </c>
      <c r="H97" s="2" t="s">
        <v>24</v>
      </c>
      <c r="I97" s="2" t="s">
        <v>324</v>
      </c>
      <c r="J97" s="2" t="s">
        <v>325</v>
      </c>
      <c r="K97" s="2">
        <v>97206</v>
      </c>
      <c r="L97" s="2" t="s">
        <v>39</v>
      </c>
      <c r="M97" s="2" t="s">
        <v>326</v>
      </c>
      <c r="N97" s="2" t="s">
        <v>41</v>
      </c>
      <c r="O97" s="2" t="s">
        <v>64</v>
      </c>
      <c r="P97" s="4">
        <v>5.6820000000000004</v>
      </c>
      <c r="Q97" s="2">
        <v>1</v>
      </c>
      <c r="R97" s="3">
        <v>0.7</v>
      </c>
      <c r="S97" s="4">
        <v>-3.7879999999999998</v>
      </c>
      <c r="T97" s="2" t="str">
        <f>TEXT(SalesData[[#This Row],[Order Date]],"mmm")</f>
        <v>Jun</v>
      </c>
      <c r="U97" s="2">
        <f>YEAR(SalesData[[#This Row],[Order Date]])</f>
        <v>2017</v>
      </c>
      <c r="V97" s="2" t="str">
        <f>IF(SalesData[[#This Row],[Profit]]&gt;0,"Profit","Loss")</f>
        <v>Loss</v>
      </c>
      <c r="W97" s="2" t="str">
        <f>IF(SalesData[[#This Row],[Profit]]&gt;100,"High Profit",
IF(SalesData[[#This Row],[Profit]]&gt;0,"Low Profit","Loss"))</f>
        <v>Loss</v>
      </c>
      <c r="X97" s="2" t="str">
        <f>IF(AND(SalesData[[#This Row],[Sales]]&gt;500,SalesData[[#This Row],[Profit]]&gt;0),"Good Order","Review")</f>
        <v>Review</v>
      </c>
      <c r="Y97" s="2"/>
      <c r="Z97" s="2"/>
      <c r="AA97" s="2"/>
      <c r="AB97" s="2"/>
    </row>
    <row r="98" spans="1:28" x14ac:dyDescent="0.3">
      <c r="A98" s="2">
        <v>97</v>
      </c>
      <c r="B98" s="2" t="s">
        <v>327</v>
      </c>
      <c r="C98" s="5">
        <v>42989</v>
      </c>
      <c r="D98" s="2" t="s">
        <v>20</v>
      </c>
      <c r="E98" s="2" t="s">
        <v>328</v>
      </c>
      <c r="F98" s="2" t="s">
        <v>329</v>
      </c>
      <c r="G98" s="2" t="s">
        <v>85</v>
      </c>
      <c r="H98" s="2" t="s">
        <v>24</v>
      </c>
      <c r="I98" s="2" t="s">
        <v>211</v>
      </c>
      <c r="J98" s="2" t="s">
        <v>212</v>
      </c>
      <c r="K98" s="2">
        <v>10009</v>
      </c>
      <c r="L98" s="2" t="s">
        <v>122</v>
      </c>
      <c r="M98" s="2" t="s">
        <v>330</v>
      </c>
      <c r="N98" s="2" t="s">
        <v>29</v>
      </c>
      <c r="O98" s="2" t="s">
        <v>57</v>
      </c>
      <c r="P98" s="4">
        <v>96.53</v>
      </c>
      <c r="Q98" s="2">
        <v>7</v>
      </c>
      <c r="R98" s="3">
        <v>0</v>
      </c>
      <c r="S98" s="4">
        <v>40.5426</v>
      </c>
      <c r="T98" s="2" t="str">
        <f>TEXT(SalesData[[#This Row],[Order Date]],"mmm")</f>
        <v>Sep</v>
      </c>
      <c r="U98" s="2">
        <f>YEAR(SalesData[[#This Row],[Order Date]])</f>
        <v>2017</v>
      </c>
      <c r="V98" s="2" t="str">
        <f>IF(SalesData[[#This Row],[Profit]]&gt;0,"Profit","Loss")</f>
        <v>Profit</v>
      </c>
      <c r="W98" s="2" t="str">
        <f>IF(SalesData[[#This Row],[Profit]]&gt;100,"High Profit",
IF(SalesData[[#This Row],[Profit]]&gt;0,"Low Profit","Loss"))</f>
        <v>Low Profit</v>
      </c>
      <c r="X98" s="2" t="str">
        <f>IF(AND(SalesData[[#This Row],[Sales]]&gt;500,SalesData[[#This Row],[Profit]]&gt;0),"Good Order","Review")</f>
        <v>Review</v>
      </c>
      <c r="Y98" s="2"/>
      <c r="Z98" s="2"/>
      <c r="AA98" s="2"/>
      <c r="AB98" s="2"/>
    </row>
    <row r="99" spans="1:28" x14ac:dyDescent="0.3">
      <c r="A99" s="2">
        <v>98</v>
      </c>
      <c r="B99" s="2" t="s">
        <v>331</v>
      </c>
      <c r="C99" s="5">
        <v>42903</v>
      </c>
      <c r="D99" s="2" t="s">
        <v>151</v>
      </c>
      <c r="E99" s="2" t="s">
        <v>332</v>
      </c>
      <c r="F99" s="2" t="s">
        <v>333</v>
      </c>
      <c r="G99" s="2" t="s">
        <v>23</v>
      </c>
      <c r="H99" s="2" t="s">
        <v>24</v>
      </c>
      <c r="I99" s="2" t="s">
        <v>106</v>
      </c>
      <c r="J99" s="2" t="s">
        <v>38</v>
      </c>
      <c r="K99" s="2">
        <v>94122</v>
      </c>
      <c r="L99" s="2" t="s">
        <v>39</v>
      </c>
      <c r="M99" s="2" t="s">
        <v>334</v>
      </c>
      <c r="N99" s="2" t="s">
        <v>41</v>
      </c>
      <c r="O99" s="2" t="s">
        <v>64</v>
      </c>
      <c r="P99" s="4">
        <v>51.311999999999998</v>
      </c>
      <c r="Q99" s="2">
        <v>3</v>
      </c>
      <c r="R99" s="3">
        <v>0.2</v>
      </c>
      <c r="S99" s="4">
        <v>17.959199999999999</v>
      </c>
      <c r="T99" s="2" t="str">
        <f>TEXT(SalesData[[#This Row],[Order Date]],"mmm")</f>
        <v>Jun</v>
      </c>
      <c r="U99" s="2">
        <f>YEAR(SalesData[[#This Row],[Order Date]])</f>
        <v>2017</v>
      </c>
      <c r="V99" s="2" t="str">
        <f>IF(SalesData[[#This Row],[Profit]]&gt;0,"Profit","Loss")</f>
        <v>Profit</v>
      </c>
      <c r="W99" s="2" t="str">
        <f>IF(SalesData[[#This Row],[Profit]]&gt;100,"High Profit",
IF(SalesData[[#This Row],[Profit]]&gt;0,"Low Profit","Loss"))</f>
        <v>Low Profit</v>
      </c>
      <c r="X99" s="2" t="str">
        <f>IF(AND(SalesData[[#This Row],[Sales]]&gt;500,SalesData[[#This Row],[Profit]]&gt;0),"Good Order","Review")</f>
        <v>Review</v>
      </c>
      <c r="Y99" s="2"/>
      <c r="Z99" s="2"/>
      <c r="AA99" s="2"/>
      <c r="AB99" s="2"/>
    </row>
    <row r="100" spans="1:28" x14ac:dyDescent="0.3">
      <c r="A100" s="2">
        <v>99</v>
      </c>
      <c r="B100" s="2" t="s">
        <v>335</v>
      </c>
      <c r="C100" s="5">
        <v>42530</v>
      </c>
      <c r="D100" s="2" t="s">
        <v>44</v>
      </c>
      <c r="E100" s="2" t="s">
        <v>336</v>
      </c>
      <c r="F100" s="2" t="s">
        <v>337</v>
      </c>
      <c r="G100" s="2" t="s">
        <v>36</v>
      </c>
      <c r="H100" s="2" t="s">
        <v>24</v>
      </c>
      <c r="I100" s="2" t="s">
        <v>338</v>
      </c>
      <c r="J100" s="2" t="s">
        <v>183</v>
      </c>
      <c r="K100" s="2">
        <v>55106</v>
      </c>
      <c r="L100" s="2" t="s">
        <v>88</v>
      </c>
      <c r="M100" s="2" t="s">
        <v>339</v>
      </c>
      <c r="N100" s="2" t="s">
        <v>41</v>
      </c>
      <c r="O100" s="2" t="s">
        <v>66</v>
      </c>
      <c r="P100" s="4">
        <v>77.88</v>
      </c>
      <c r="Q100" s="2">
        <v>6</v>
      </c>
      <c r="R100" s="3">
        <v>0</v>
      </c>
      <c r="S100" s="4">
        <v>22.5852</v>
      </c>
      <c r="T100" s="2" t="str">
        <f>TEXT(SalesData[[#This Row],[Order Date]],"mmm")</f>
        <v>Jun</v>
      </c>
      <c r="U100" s="2">
        <f>YEAR(SalesData[[#This Row],[Order Date]])</f>
        <v>2016</v>
      </c>
      <c r="V100" s="2" t="str">
        <f>IF(SalesData[[#This Row],[Profit]]&gt;0,"Profit","Loss")</f>
        <v>Profit</v>
      </c>
      <c r="W100" s="2" t="str">
        <f>IF(SalesData[[#This Row],[Profit]]&gt;100,"High Profit",
IF(SalesData[[#This Row],[Profit]]&gt;0,"Low Profit","Loss"))</f>
        <v>Low Profit</v>
      </c>
      <c r="X100" s="2" t="str">
        <f>IF(AND(SalesData[[#This Row],[Sales]]&gt;500,SalesData[[#This Row],[Profit]]&gt;0),"Good Order","Review")</f>
        <v>Review</v>
      </c>
      <c r="Y100" s="2"/>
      <c r="Z100" s="2"/>
      <c r="AA100" s="2"/>
      <c r="AB100" s="2"/>
    </row>
    <row r="101" spans="1:28" x14ac:dyDescent="0.3">
      <c r="A101" s="2">
        <v>100</v>
      </c>
      <c r="B101" s="2" t="s">
        <v>340</v>
      </c>
      <c r="C101" s="5">
        <v>42611</v>
      </c>
      <c r="D101" s="2" t="s">
        <v>44</v>
      </c>
      <c r="E101" s="2" t="s">
        <v>341</v>
      </c>
      <c r="F101" s="2" t="s">
        <v>342</v>
      </c>
      <c r="G101" s="2" t="s">
        <v>85</v>
      </c>
      <c r="H101" s="2" t="s">
        <v>24</v>
      </c>
      <c r="I101" s="2" t="s">
        <v>236</v>
      </c>
      <c r="J101" s="2" t="s">
        <v>168</v>
      </c>
      <c r="K101" s="2">
        <v>60610</v>
      </c>
      <c r="L101" s="2" t="s">
        <v>88</v>
      </c>
      <c r="M101" s="2" t="s">
        <v>343</v>
      </c>
      <c r="N101" s="2" t="s">
        <v>41</v>
      </c>
      <c r="O101" s="2" t="s">
        <v>75</v>
      </c>
      <c r="P101" s="4">
        <v>64.623999999999995</v>
      </c>
      <c r="Q101" s="2">
        <v>7</v>
      </c>
      <c r="R101" s="3">
        <v>0.2</v>
      </c>
      <c r="S101" s="4">
        <v>22.618400000000001</v>
      </c>
      <c r="T101" s="2" t="str">
        <f>TEXT(SalesData[[#This Row],[Order Date]],"mmm")</f>
        <v>Aug</v>
      </c>
      <c r="U101" s="2">
        <f>YEAR(SalesData[[#This Row],[Order Date]])</f>
        <v>2016</v>
      </c>
      <c r="V101" s="2" t="str">
        <f>IF(SalesData[[#This Row],[Profit]]&gt;0,"Profit","Loss")</f>
        <v>Profit</v>
      </c>
      <c r="W101" s="2" t="str">
        <f>IF(SalesData[[#This Row],[Profit]]&gt;100,"High Profit",
IF(SalesData[[#This Row],[Profit]]&gt;0,"Low Profit","Loss"))</f>
        <v>Low Profit</v>
      </c>
      <c r="X101" s="2" t="str">
        <f>IF(AND(SalesData[[#This Row],[Sales]]&gt;500,SalesData[[#This Row],[Profit]]&gt;0),"Good Order","Review")</f>
        <v>Review</v>
      </c>
      <c r="Y101" s="2"/>
      <c r="Z101" s="2"/>
      <c r="AA101" s="2"/>
      <c r="AB101" s="2"/>
    </row>
    <row r="102" spans="1:28" x14ac:dyDescent="0.3">
      <c r="A102" s="2">
        <v>101</v>
      </c>
      <c r="B102" s="2" t="s">
        <v>340</v>
      </c>
      <c r="C102" s="5">
        <v>42611</v>
      </c>
      <c r="D102" s="2" t="s">
        <v>44</v>
      </c>
      <c r="E102" s="2" t="s">
        <v>341</v>
      </c>
      <c r="F102" s="2" t="s">
        <v>342</v>
      </c>
      <c r="G102" s="2" t="s">
        <v>85</v>
      </c>
      <c r="H102" s="2" t="s">
        <v>24</v>
      </c>
      <c r="I102" s="2" t="s">
        <v>236</v>
      </c>
      <c r="J102" s="2" t="s">
        <v>168</v>
      </c>
      <c r="K102" s="2">
        <v>60610</v>
      </c>
      <c r="L102" s="2" t="s">
        <v>88</v>
      </c>
      <c r="M102" s="2" t="s">
        <v>344</v>
      </c>
      <c r="N102" s="2" t="s">
        <v>61</v>
      </c>
      <c r="O102" s="2" t="s">
        <v>133</v>
      </c>
      <c r="P102" s="4">
        <v>95.975999999999999</v>
      </c>
      <c r="Q102" s="2">
        <v>3</v>
      </c>
      <c r="R102" s="3">
        <v>0.2</v>
      </c>
      <c r="S102" s="4">
        <v>-10.7973</v>
      </c>
      <c r="T102" s="2" t="str">
        <f>TEXT(SalesData[[#This Row],[Order Date]],"mmm")</f>
        <v>Aug</v>
      </c>
      <c r="U102" s="2">
        <f>YEAR(SalesData[[#This Row],[Order Date]])</f>
        <v>2016</v>
      </c>
      <c r="V102" s="2" t="str">
        <f>IF(SalesData[[#This Row],[Profit]]&gt;0,"Profit","Loss")</f>
        <v>Loss</v>
      </c>
      <c r="W102" s="2" t="str">
        <f>IF(SalesData[[#This Row],[Profit]]&gt;100,"High Profit",
IF(SalesData[[#This Row],[Profit]]&gt;0,"Low Profit","Loss"))</f>
        <v>Loss</v>
      </c>
      <c r="X102" s="2" t="str">
        <f>IF(AND(SalesData[[#This Row],[Sales]]&gt;500,SalesData[[#This Row],[Profit]]&gt;0),"Good Order","Review")</f>
        <v>Review</v>
      </c>
      <c r="Y102" s="2"/>
      <c r="Z102" s="2"/>
      <c r="AA102" s="2"/>
      <c r="AB102" s="2"/>
    </row>
    <row r="103" spans="1:28" x14ac:dyDescent="0.3">
      <c r="A103" s="2">
        <v>102</v>
      </c>
      <c r="B103" s="2" t="s">
        <v>340</v>
      </c>
      <c r="C103" s="5">
        <v>42611</v>
      </c>
      <c r="D103" s="2" t="s">
        <v>44</v>
      </c>
      <c r="E103" s="2" t="s">
        <v>341</v>
      </c>
      <c r="F103" s="2" t="s">
        <v>342</v>
      </c>
      <c r="G103" s="2" t="s">
        <v>85</v>
      </c>
      <c r="H103" s="2" t="s">
        <v>24</v>
      </c>
      <c r="I103" s="2" t="s">
        <v>236</v>
      </c>
      <c r="J103" s="2" t="s">
        <v>168</v>
      </c>
      <c r="K103" s="2">
        <v>60610</v>
      </c>
      <c r="L103" s="2" t="s">
        <v>88</v>
      </c>
      <c r="M103" s="2" t="s">
        <v>345</v>
      </c>
      <c r="N103" s="2" t="s">
        <v>41</v>
      </c>
      <c r="O103" s="2" t="s">
        <v>64</v>
      </c>
      <c r="P103" s="4">
        <v>1.788</v>
      </c>
      <c r="Q103" s="2">
        <v>3</v>
      </c>
      <c r="R103" s="3">
        <v>0.8</v>
      </c>
      <c r="S103" s="4">
        <v>-3.0396000000000001</v>
      </c>
      <c r="T103" s="2" t="str">
        <f>TEXT(SalesData[[#This Row],[Order Date]],"mmm")</f>
        <v>Aug</v>
      </c>
      <c r="U103" s="2">
        <f>YEAR(SalesData[[#This Row],[Order Date]])</f>
        <v>2016</v>
      </c>
      <c r="V103" s="2" t="str">
        <f>IF(SalesData[[#This Row],[Profit]]&gt;0,"Profit","Loss")</f>
        <v>Loss</v>
      </c>
      <c r="W103" s="2" t="str">
        <f>IF(SalesData[[#This Row],[Profit]]&gt;100,"High Profit",
IF(SalesData[[#This Row],[Profit]]&gt;0,"Low Profit","Loss"))</f>
        <v>Loss</v>
      </c>
      <c r="X103" s="2" t="str">
        <f>IF(AND(SalesData[[#This Row],[Sales]]&gt;500,SalesData[[#This Row],[Profit]]&gt;0),"Good Order","Review")</f>
        <v>Review</v>
      </c>
      <c r="Y103" s="2"/>
      <c r="Z103" s="2"/>
      <c r="AA103" s="2"/>
      <c r="AB103" s="2"/>
    </row>
    <row r="104" spans="1:28" x14ac:dyDescent="0.3">
      <c r="A104" s="2">
        <v>103</v>
      </c>
      <c r="B104" s="2" t="s">
        <v>346</v>
      </c>
      <c r="C104" s="5">
        <v>42381</v>
      </c>
      <c r="D104" s="2" t="s">
        <v>20</v>
      </c>
      <c r="E104" s="2" t="s">
        <v>347</v>
      </c>
      <c r="F104" s="2" t="s">
        <v>348</v>
      </c>
      <c r="G104" s="2" t="s">
        <v>23</v>
      </c>
      <c r="H104" s="2" t="s">
        <v>24</v>
      </c>
      <c r="I104" s="2" t="s">
        <v>302</v>
      </c>
      <c r="J104" s="2" t="s">
        <v>183</v>
      </c>
      <c r="K104" s="2">
        <v>55901</v>
      </c>
      <c r="L104" s="2" t="s">
        <v>88</v>
      </c>
      <c r="M104" s="2" t="s">
        <v>349</v>
      </c>
      <c r="N104" s="2" t="s">
        <v>41</v>
      </c>
      <c r="O104" s="2" t="s">
        <v>75</v>
      </c>
      <c r="P104" s="4">
        <v>23.92</v>
      </c>
      <c r="Q104" s="2">
        <v>4</v>
      </c>
      <c r="R104" s="3">
        <v>0</v>
      </c>
      <c r="S104" s="4">
        <v>11.720800000000001</v>
      </c>
      <c r="T104" s="2" t="str">
        <f>TEXT(SalesData[[#This Row],[Order Date]],"mmm")</f>
        <v>Jan</v>
      </c>
      <c r="U104" s="2">
        <f>YEAR(SalesData[[#This Row],[Order Date]])</f>
        <v>2016</v>
      </c>
      <c r="V104" s="2" t="str">
        <f>IF(SalesData[[#This Row],[Profit]]&gt;0,"Profit","Loss")</f>
        <v>Profit</v>
      </c>
      <c r="W104" s="2" t="str">
        <f>IF(SalesData[[#This Row],[Profit]]&gt;100,"High Profit",
IF(SalesData[[#This Row],[Profit]]&gt;0,"Low Profit","Loss"))</f>
        <v>Low Profit</v>
      </c>
      <c r="X104" s="2" t="str">
        <f>IF(AND(SalesData[[#This Row],[Sales]]&gt;500,SalesData[[#This Row],[Profit]]&gt;0),"Good Order","Review")</f>
        <v>Review</v>
      </c>
      <c r="Y104" s="2"/>
      <c r="Z104" s="2"/>
      <c r="AA104" s="2"/>
      <c r="AB104" s="2"/>
    </row>
    <row r="105" spans="1:28" x14ac:dyDescent="0.3">
      <c r="A105" s="2">
        <v>104</v>
      </c>
      <c r="B105" s="2" t="s">
        <v>350</v>
      </c>
      <c r="C105" s="5">
        <v>42321</v>
      </c>
      <c r="D105" s="2" t="s">
        <v>44</v>
      </c>
      <c r="E105" s="2" t="s">
        <v>351</v>
      </c>
      <c r="F105" s="2" t="s">
        <v>352</v>
      </c>
      <c r="G105" s="2" t="s">
        <v>23</v>
      </c>
      <c r="H105" s="2" t="s">
        <v>24</v>
      </c>
      <c r="I105" s="2" t="s">
        <v>353</v>
      </c>
      <c r="J105" s="2" t="s">
        <v>354</v>
      </c>
      <c r="K105" s="2">
        <v>80013</v>
      </c>
      <c r="L105" s="2" t="s">
        <v>39</v>
      </c>
      <c r="M105" s="2" t="s">
        <v>355</v>
      </c>
      <c r="N105" s="2" t="s">
        <v>61</v>
      </c>
      <c r="O105" s="2" t="s">
        <v>133</v>
      </c>
      <c r="P105" s="4">
        <v>238.89599999999999</v>
      </c>
      <c r="Q105" s="2">
        <v>6</v>
      </c>
      <c r="R105" s="3">
        <v>0.2</v>
      </c>
      <c r="S105" s="4">
        <v>-26.875800000000002</v>
      </c>
      <c r="T105" s="2" t="str">
        <f>TEXT(SalesData[[#This Row],[Order Date]],"mmm")</f>
        <v>Nov</v>
      </c>
      <c r="U105" s="2">
        <f>YEAR(SalesData[[#This Row],[Order Date]])</f>
        <v>2015</v>
      </c>
      <c r="V105" s="2" t="str">
        <f>IF(SalesData[[#This Row],[Profit]]&gt;0,"Profit","Loss")</f>
        <v>Loss</v>
      </c>
      <c r="W105" s="2" t="str">
        <f>IF(SalesData[[#This Row],[Profit]]&gt;100,"High Profit",
IF(SalesData[[#This Row],[Profit]]&gt;0,"Low Profit","Loss"))</f>
        <v>Loss</v>
      </c>
      <c r="X105" s="2" t="str">
        <f>IF(AND(SalesData[[#This Row],[Sales]]&gt;500,SalesData[[#This Row],[Profit]]&gt;0),"Good Order","Review")</f>
        <v>Review</v>
      </c>
      <c r="Y105" s="2"/>
      <c r="Z105" s="2"/>
      <c r="AA105" s="2"/>
      <c r="AB105" s="2"/>
    </row>
    <row r="106" spans="1:28" x14ac:dyDescent="0.3">
      <c r="A106" s="2">
        <v>105</v>
      </c>
      <c r="B106" s="2" t="s">
        <v>350</v>
      </c>
      <c r="C106" s="5">
        <v>42321</v>
      </c>
      <c r="D106" s="2" t="s">
        <v>44</v>
      </c>
      <c r="E106" s="2" t="s">
        <v>351</v>
      </c>
      <c r="F106" s="2" t="s">
        <v>352</v>
      </c>
      <c r="G106" s="2" t="s">
        <v>23</v>
      </c>
      <c r="H106" s="2" t="s">
        <v>24</v>
      </c>
      <c r="I106" s="2" t="s">
        <v>353</v>
      </c>
      <c r="J106" s="2" t="s">
        <v>354</v>
      </c>
      <c r="K106" s="2">
        <v>80013</v>
      </c>
      <c r="L106" s="2" t="s">
        <v>39</v>
      </c>
      <c r="M106" s="2" t="s">
        <v>356</v>
      </c>
      <c r="N106" s="2" t="s">
        <v>29</v>
      </c>
      <c r="O106" s="2" t="s">
        <v>57</v>
      </c>
      <c r="P106" s="4">
        <v>102.36</v>
      </c>
      <c r="Q106" s="2">
        <v>3</v>
      </c>
      <c r="R106" s="3">
        <v>0.2</v>
      </c>
      <c r="S106" s="4">
        <v>-3.8384999999999998</v>
      </c>
      <c r="T106" s="2" t="str">
        <f>TEXT(SalesData[[#This Row],[Order Date]],"mmm")</f>
        <v>Nov</v>
      </c>
      <c r="U106" s="2">
        <f>YEAR(SalesData[[#This Row],[Order Date]])</f>
        <v>2015</v>
      </c>
      <c r="V106" s="2" t="str">
        <f>IF(SalesData[[#This Row],[Profit]]&gt;0,"Profit","Loss")</f>
        <v>Loss</v>
      </c>
      <c r="W106" s="2" t="str">
        <f>IF(SalesData[[#This Row],[Profit]]&gt;100,"High Profit",
IF(SalesData[[#This Row],[Profit]]&gt;0,"Low Profit","Loss"))</f>
        <v>Loss</v>
      </c>
      <c r="X106" s="2" t="str">
        <f>IF(AND(SalesData[[#This Row],[Sales]]&gt;500,SalesData[[#This Row],[Profit]]&gt;0),"Good Order","Review")</f>
        <v>Review</v>
      </c>
      <c r="Y106" s="2"/>
      <c r="Z106" s="2"/>
      <c r="AA106" s="2"/>
      <c r="AB106" s="2"/>
    </row>
    <row r="107" spans="1:28" x14ac:dyDescent="0.3">
      <c r="A107" s="2">
        <v>106</v>
      </c>
      <c r="B107" s="2" t="s">
        <v>350</v>
      </c>
      <c r="C107" s="5">
        <v>42321</v>
      </c>
      <c r="D107" s="2" t="s">
        <v>44</v>
      </c>
      <c r="E107" s="2" t="s">
        <v>351</v>
      </c>
      <c r="F107" s="2" t="s">
        <v>352</v>
      </c>
      <c r="G107" s="2" t="s">
        <v>23</v>
      </c>
      <c r="H107" s="2" t="s">
        <v>24</v>
      </c>
      <c r="I107" s="2" t="s">
        <v>353</v>
      </c>
      <c r="J107" s="2" t="s">
        <v>354</v>
      </c>
      <c r="K107" s="2">
        <v>80013</v>
      </c>
      <c r="L107" s="2" t="s">
        <v>39</v>
      </c>
      <c r="M107" s="2" t="s">
        <v>357</v>
      </c>
      <c r="N107" s="2" t="s">
        <v>41</v>
      </c>
      <c r="O107" s="2" t="s">
        <v>64</v>
      </c>
      <c r="P107" s="4">
        <v>36.881999999999998</v>
      </c>
      <c r="Q107" s="2">
        <v>3</v>
      </c>
      <c r="R107" s="3">
        <v>0.7</v>
      </c>
      <c r="S107" s="4">
        <v>-25.817399999999999</v>
      </c>
      <c r="T107" s="2" t="str">
        <f>TEXT(SalesData[[#This Row],[Order Date]],"mmm")</f>
        <v>Nov</v>
      </c>
      <c r="U107" s="2">
        <f>YEAR(SalesData[[#This Row],[Order Date]])</f>
        <v>2015</v>
      </c>
      <c r="V107" s="2" t="str">
        <f>IF(SalesData[[#This Row],[Profit]]&gt;0,"Profit","Loss")</f>
        <v>Loss</v>
      </c>
      <c r="W107" s="2" t="str">
        <f>IF(SalesData[[#This Row],[Profit]]&gt;100,"High Profit",
IF(SalesData[[#This Row],[Profit]]&gt;0,"Low Profit","Loss"))</f>
        <v>Loss</v>
      </c>
      <c r="X107" s="2" t="str">
        <f>IF(AND(SalesData[[#This Row],[Sales]]&gt;500,SalesData[[#This Row],[Profit]]&gt;0),"Good Order","Review")</f>
        <v>Review</v>
      </c>
      <c r="Y107" s="2"/>
      <c r="Z107" s="2"/>
      <c r="AA107" s="2"/>
      <c r="AB107" s="2"/>
    </row>
    <row r="108" spans="1:28" x14ac:dyDescent="0.3">
      <c r="A108" s="2">
        <v>107</v>
      </c>
      <c r="B108" s="2" t="s">
        <v>358</v>
      </c>
      <c r="C108" s="5">
        <v>43062</v>
      </c>
      <c r="D108" s="2" t="s">
        <v>44</v>
      </c>
      <c r="E108" s="2" t="s">
        <v>359</v>
      </c>
      <c r="F108" s="2" t="s">
        <v>360</v>
      </c>
      <c r="G108" s="2" t="s">
        <v>23</v>
      </c>
      <c r="H108" s="2" t="s">
        <v>24</v>
      </c>
      <c r="I108" s="2" t="s">
        <v>361</v>
      </c>
      <c r="J108" s="2" t="s">
        <v>73</v>
      </c>
      <c r="K108" s="2">
        <v>28205</v>
      </c>
      <c r="L108" s="2" t="s">
        <v>27</v>
      </c>
      <c r="M108" s="2" t="s">
        <v>362</v>
      </c>
      <c r="N108" s="2" t="s">
        <v>61</v>
      </c>
      <c r="O108" s="2" t="s">
        <v>133</v>
      </c>
      <c r="P108" s="4">
        <v>74.111999999999995</v>
      </c>
      <c r="Q108" s="2">
        <v>8</v>
      </c>
      <c r="R108" s="3">
        <v>0.2</v>
      </c>
      <c r="S108" s="4">
        <v>17.601600000000001</v>
      </c>
      <c r="T108" s="2" t="str">
        <f>TEXT(SalesData[[#This Row],[Order Date]],"mmm")</f>
        <v>Nov</v>
      </c>
      <c r="U108" s="2">
        <f>YEAR(SalesData[[#This Row],[Order Date]])</f>
        <v>2017</v>
      </c>
      <c r="V108" s="2" t="str">
        <f>IF(SalesData[[#This Row],[Profit]]&gt;0,"Profit","Loss")</f>
        <v>Profit</v>
      </c>
      <c r="W108" s="2" t="str">
        <f>IF(SalesData[[#This Row],[Profit]]&gt;100,"High Profit",
IF(SalesData[[#This Row],[Profit]]&gt;0,"Low Profit","Loss"))</f>
        <v>Low Profit</v>
      </c>
      <c r="X108" s="2" t="str">
        <f>IF(AND(SalesData[[#This Row],[Sales]]&gt;500,SalesData[[#This Row],[Profit]]&gt;0),"Good Order","Review")</f>
        <v>Review</v>
      </c>
      <c r="Y108" s="2"/>
      <c r="Z108" s="2"/>
      <c r="AA108" s="2"/>
      <c r="AB108" s="2"/>
    </row>
    <row r="109" spans="1:28" x14ac:dyDescent="0.3">
      <c r="A109" s="2">
        <v>108</v>
      </c>
      <c r="B109" s="2" t="s">
        <v>358</v>
      </c>
      <c r="C109" s="5">
        <v>43062</v>
      </c>
      <c r="D109" s="2" t="s">
        <v>44</v>
      </c>
      <c r="E109" s="2" t="s">
        <v>359</v>
      </c>
      <c r="F109" s="2" t="s">
        <v>360</v>
      </c>
      <c r="G109" s="2" t="s">
        <v>23</v>
      </c>
      <c r="H109" s="2" t="s">
        <v>24</v>
      </c>
      <c r="I109" s="2" t="s">
        <v>361</v>
      </c>
      <c r="J109" s="2" t="s">
        <v>73</v>
      </c>
      <c r="K109" s="2">
        <v>28205</v>
      </c>
      <c r="L109" s="2" t="s">
        <v>27</v>
      </c>
      <c r="M109" s="2" t="s">
        <v>363</v>
      </c>
      <c r="N109" s="2" t="s">
        <v>61</v>
      </c>
      <c r="O109" s="2" t="s">
        <v>62</v>
      </c>
      <c r="P109" s="4">
        <v>27.992000000000001</v>
      </c>
      <c r="Q109" s="2">
        <v>1</v>
      </c>
      <c r="R109" s="3">
        <v>0.2</v>
      </c>
      <c r="S109" s="4">
        <v>2.0994000000000002</v>
      </c>
      <c r="T109" s="2" t="str">
        <f>TEXT(SalesData[[#This Row],[Order Date]],"mmm")</f>
        <v>Nov</v>
      </c>
      <c r="U109" s="2">
        <f>YEAR(SalesData[[#This Row],[Order Date]])</f>
        <v>2017</v>
      </c>
      <c r="V109" s="2" t="str">
        <f>IF(SalesData[[#This Row],[Profit]]&gt;0,"Profit","Loss")</f>
        <v>Profit</v>
      </c>
      <c r="W109" s="2" t="str">
        <f>IF(SalesData[[#This Row],[Profit]]&gt;100,"High Profit",
IF(SalesData[[#This Row],[Profit]]&gt;0,"Low Profit","Loss"))</f>
        <v>Low Profit</v>
      </c>
      <c r="X109" s="2" t="str">
        <f>IF(AND(SalesData[[#This Row],[Sales]]&gt;500,SalesData[[#This Row],[Profit]]&gt;0),"Good Order","Review")</f>
        <v>Review</v>
      </c>
      <c r="Y109" s="2"/>
      <c r="Z109" s="2"/>
      <c r="AA109" s="2"/>
      <c r="AB109" s="2"/>
    </row>
    <row r="110" spans="1:28" x14ac:dyDescent="0.3">
      <c r="A110" s="2">
        <v>109</v>
      </c>
      <c r="B110" s="2" t="s">
        <v>358</v>
      </c>
      <c r="C110" s="5">
        <v>43062</v>
      </c>
      <c r="D110" s="2" t="s">
        <v>44</v>
      </c>
      <c r="E110" s="2" t="s">
        <v>359</v>
      </c>
      <c r="F110" s="2" t="s">
        <v>360</v>
      </c>
      <c r="G110" s="2" t="s">
        <v>23</v>
      </c>
      <c r="H110" s="2" t="s">
        <v>24</v>
      </c>
      <c r="I110" s="2" t="s">
        <v>361</v>
      </c>
      <c r="J110" s="2" t="s">
        <v>73</v>
      </c>
      <c r="K110" s="2">
        <v>28205</v>
      </c>
      <c r="L110" s="2" t="s">
        <v>27</v>
      </c>
      <c r="M110" s="2" t="s">
        <v>364</v>
      </c>
      <c r="N110" s="2" t="s">
        <v>41</v>
      </c>
      <c r="O110" s="2" t="s">
        <v>59</v>
      </c>
      <c r="P110" s="4">
        <v>3.3039999999999998</v>
      </c>
      <c r="Q110" s="2">
        <v>1</v>
      </c>
      <c r="R110" s="3">
        <v>0.2</v>
      </c>
      <c r="S110" s="4">
        <v>1.0738000000000001</v>
      </c>
      <c r="T110" s="2" t="str">
        <f>TEXT(SalesData[[#This Row],[Order Date]],"mmm")</f>
        <v>Nov</v>
      </c>
      <c r="U110" s="2">
        <f>YEAR(SalesData[[#This Row],[Order Date]])</f>
        <v>2017</v>
      </c>
      <c r="V110" s="2" t="str">
        <f>IF(SalesData[[#This Row],[Profit]]&gt;0,"Profit","Loss")</f>
        <v>Profit</v>
      </c>
      <c r="W110" s="2" t="str">
        <f>IF(SalesData[[#This Row],[Profit]]&gt;100,"High Profit",
IF(SalesData[[#This Row],[Profit]]&gt;0,"Low Profit","Loss"))</f>
        <v>Low Profit</v>
      </c>
      <c r="X110" s="2" t="str">
        <f>IF(AND(SalesData[[#This Row],[Sales]]&gt;500,SalesData[[#This Row],[Profit]]&gt;0),"Good Order","Review")</f>
        <v>Review</v>
      </c>
      <c r="Y110" s="2"/>
      <c r="Z110" s="2"/>
      <c r="AA110" s="2"/>
      <c r="AB110" s="2"/>
    </row>
    <row r="111" spans="1:28" x14ac:dyDescent="0.3">
      <c r="A111" s="2">
        <v>110</v>
      </c>
      <c r="B111" s="2" t="s">
        <v>365</v>
      </c>
      <c r="C111" s="5">
        <v>42292</v>
      </c>
      <c r="D111" s="2" t="s">
        <v>44</v>
      </c>
      <c r="E111" s="2" t="s">
        <v>366</v>
      </c>
      <c r="F111" s="2" t="s">
        <v>367</v>
      </c>
      <c r="G111" s="2" t="s">
        <v>85</v>
      </c>
      <c r="H111" s="2" t="s">
        <v>24</v>
      </c>
      <c r="I111" s="2" t="s">
        <v>368</v>
      </c>
      <c r="J111" s="2" t="s">
        <v>168</v>
      </c>
      <c r="K111" s="2">
        <v>60462</v>
      </c>
      <c r="L111" s="2" t="s">
        <v>88</v>
      </c>
      <c r="M111" s="2" t="s">
        <v>369</v>
      </c>
      <c r="N111" s="2" t="s">
        <v>61</v>
      </c>
      <c r="O111" s="2" t="s">
        <v>133</v>
      </c>
      <c r="P111" s="4">
        <v>339.96</v>
      </c>
      <c r="Q111" s="2">
        <v>5</v>
      </c>
      <c r="R111" s="3">
        <v>0.2</v>
      </c>
      <c r="S111" s="4">
        <v>67.992000000000004</v>
      </c>
      <c r="T111" s="2" t="str">
        <f>TEXT(SalesData[[#This Row],[Order Date]],"mmm")</f>
        <v>Oct</v>
      </c>
      <c r="U111" s="2">
        <f>YEAR(SalesData[[#This Row],[Order Date]])</f>
        <v>2015</v>
      </c>
      <c r="V111" s="2" t="str">
        <f>IF(SalesData[[#This Row],[Profit]]&gt;0,"Profit","Loss")</f>
        <v>Profit</v>
      </c>
      <c r="W111" s="2" t="str">
        <f>IF(SalesData[[#This Row],[Profit]]&gt;100,"High Profit",
IF(SalesData[[#This Row],[Profit]]&gt;0,"Low Profit","Loss"))</f>
        <v>Low Profit</v>
      </c>
      <c r="X111" s="2" t="str">
        <f>IF(AND(SalesData[[#This Row],[Sales]]&gt;500,SalesData[[#This Row],[Profit]]&gt;0),"Good Order","Review")</f>
        <v>Review</v>
      </c>
      <c r="Y111" s="2"/>
      <c r="Z111" s="2"/>
      <c r="AA111" s="2"/>
      <c r="AB111" s="2"/>
    </row>
    <row r="112" spans="1:28" x14ac:dyDescent="0.3">
      <c r="A112" s="2">
        <v>111</v>
      </c>
      <c r="B112" s="2" t="s">
        <v>370</v>
      </c>
      <c r="C112" s="5">
        <v>43094</v>
      </c>
      <c r="D112" s="2" t="s">
        <v>44</v>
      </c>
      <c r="E112" s="2" t="s">
        <v>371</v>
      </c>
      <c r="F112" s="2" t="s">
        <v>372</v>
      </c>
      <c r="G112" s="2" t="s">
        <v>36</v>
      </c>
      <c r="H112" s="2" t="s">
        <v>24</v>
      </c>
      <c r="I112" s="2" t="s">
        <v>211</v>
      </c>
      <c r="J112" s="2" t="s">
        <v>212</v>
      </c>
      <c r="K112" s="2">
        <v>10035</v>
      </c>
      <c r="L112" s="2" t="s">
        <v>122</v>
      </c>
      <c r="M112" s="2" t="s">
        <v>373</v>
      </c>
      <c r="N112" s="2" t="s">
        <v>29</v>
      </c>
      <c r="O112" s="2" t="s">
        <v>57</v>
      </c>
      <c r="P112" s="4">
        <v>41.96</v>
      </c>
      <c r="Q112" s="2">
        <v>2</v>
      </c>
      <c r="R112" s="3">
        <v>0</v>
      </c>
      <c r="S112" s="4">
        <v>10.909599999999999</v>
      </c>
      <c r="T112" s="2" t="str">
        <f>TEXT(SalesData[[#This Row],[Order Date]],"mmm")</f>
        <v>Dec</v>
      </c>
      <c r="U112" s="2">
        <f>YEAR(SalesData[[#This Row],[Order Date]])</f>
        <v>2017</v>
      </c>
      <c r="V112" s="2" t="str">
        <f>IF(SalesData[[#This Row],[Profit]]&gt;0,"Profit","Loss")</f>
        <v>Profit</v>
      </c>
      <c r="W112" s="2" t="str">
        <f>IF(SalesData[[#This Row],[Profit]]&gt;100,"High Profit",
IF(SalesData[[#This Row],[Profit]]&gt;0,"Low Profit","Loss"))</f>
        <v>Low Profit</v>
      </c>
      <c r="X112" s="2" t="str">
        <f>IF(AND(SalesData[[#This Row],[Sales]]&gt;500,SalesData[[#This Row],[Profit]]&gt;0),"Good Order","Review")</f>
        <v>Review</v>
      </c>
      <c r="Y112" s="2"/>
      <c r="Z112" s="2"/>
      <c r="AA112" s="2"/>
      <c r="AB112" s="2"/>
    </row>
    <row r="113" spans="1:28" x14ac:dyDescent="0.3">
      <c r="A113" s="2">
        <v>112</v>
      </c>
      <c r="B113" s="2" t="s">
        <v>374</v>
      </c>
      <c r="C113" s="5">
        <v>42440</v>
      </c>
      <c r="D113" s="2" t="s">
        <v>44</v>
      </c>
      <c r="E113" s="2" t="s">
        <v>375</v>
      </c>
      <c r="F113" s="2" t="s">
        <v>376</v>
      </c>
      <c r="G113" s="2" t="s">
        <v>23</v>
      </c>
      <c r="H113" s="2" t="s">
        <v>24</v>
      </c>
      <c r="I113" s="2" t="s">
        <v>377</v>
      </c>
      <c r="J113" s="2" t="s">
        <v>378</v>
      </c>
      <c r="K113" s="2">
        <v>50322</v>
      </c>
      <c r="L113" s="2" t="s">
        <v>88</v>
      </c>
      <c r="M113" s="2" t="s">
        <v>379</v>
      </c>
      <c r="N113" s="2" t="s">
        <v>41</v>
      </c>
      <c r="O113" s="2" t="s">
        <v>59</v>
      </c>
      <c r="P113" s="4">
        <v>75.959999999999994</v>
      </c>
      <c r="Q113" s="2">
        <v>2</v>
      </c>
      <c r="R113" s="3">
        <v>0</v>
      </c>
      <c r="S113" s="4">
        <v>22.788</v>
      </c>
      <c r="T113" s="2" t="str">
        <f>TEXT(SalesData[[#This Row],[Order Date]],"mmm")</f>
        <v>Mar</v>
      </c>
      <c r="U113" s="2">
        <f>YEAR(SalesData[[#This Row],[Order Date]])</f>
        <v>2016</v>
      </c>
      <c r="V113" s="2" t="str">
        <f>IF(SalesData[[#This Row],[Profit]]&gt;0,"Profit","Loss")</f>
        <v>Profit</v>
      </c>
      <c r="W113" s="2" t="str">
        <f>IF(SalesData[[#This Row],[Profit]]&gt;100,"High Profit",
IF(SalesData[[#This Row],[Profit]]&gt;0,"Low Profit","Loss"))</f>
        <v>Low Profit</v>
      </c>
      <c r="X113" s="2" t="str">
        <f>IF(AND(SalesData[[#This Row],[Sales]]&gt;500,SalesData[[#This Row],[Profit]]&gt;0),"Good Order","Review")</f>
        <v>Review</v>
      </c>
      <c r="Y113" s="2"/>
      <c r="Z113" s="2"/>
      <c r="AA113" s="2"/>
      <c r="AB113" s="2"/>
    </row>
    <row r="114" spans="1:28" x14ac:dyDescent="0.3">
      <c r="A114" s="2">
        <v>113</v>
      </c>
      <c r="B114" s="2" t="s">
        <v>374</v>
      </c>
      <c r="C114" s="5">
        <v>42440</v>
      </c>
      <c r="D114" s="2" t="s">
        <v>44</v>
      </c>
      <c r="E114" s="2" t="s">
        <v>375</v>
      </c>
      <c r="F114" s="2" t="s">
        <v>376</v>
      </c>
      <c r="G114" s="2" t="s">
        <v>23</v>
      </c>
      <c r="H114" s="2" t="s">
        <v>24</v>
      </c>
      <c r="I114" s="2" t="s">
        <v>377</v>
      </c>
      <c r="J114" s="2" t="s">
        <v>378</v>
      </c>
      <c r="K114" s="2">
        <v>50322</v>
      </c>
      <c r="L114" s="2" t="s">
        <v>88</v>
      </c>
      <c r="M114" s="2" t="s">
        <v>380</v>
      </c>
      <c r="N114" s="2" t="s">
        <v>41</v>
      </c>
      <c r="O114" s="2" t="s">
        <v>64</v>
      </c>
      <c r="P114" s="4">
        <v>27.24</v>
      </c>
      <c r="Q114" s="2">
        <v>6</v>
      </c>
      <c r="R114" s="3">
        <v>0</v>
      </c>
      <c r="S114" s="4">
        <v>13.3476</v>
      </c>
      <c r="T114" s="2" t="str">
        <f>TEXT(SalesData[[#This Row],[Order Date]],"mmm")</f>
        <v>Mar</v>
      </c>
      <c r="U114" s="2">
        <f>YEAR(SalesData[[#This Row],[Order Date]])</f>
        <v>2016</v>
      </c>
      <c r="V114" s="2" t="str">
        <f>IF(SalesData[[#This Row],[Profit]]&gt;0,"Profit","Loss")</f>
        <v>Profit</v>
      </c>
      <c r="W114" s="2" t="str">
        <f>IF(SalesData[[#This Row],[Profit]]&gt;100,"High Profit",
IF(SalesData[[#This Row],[Profit]]&gt;0,"Low Profit","Loss"))</f>
        <v>Low Profit</v>
      </c>
      <c r="X114" s="2" t="str">
        <f>IF(AND(SalesData[[#This Row],[Sales]]&gt;500,SalesData[[#This Row],[Profit]]&gt;0),"Good Order","Review")</f>
        <v>Review</v>
      </c>
      <c r="Y114" s="2"/>
      <c r="Z114" s="2"/>
      <c r="AA114" s="2"/>
      <c r="AB114" s="2"/>
    </row>
    <row r="115" spans="1:28" x14ac:dyDescent="0.3">
      <c r="A115" s="2">
        <v>114</v>
      </c>
      <c r="B115" s="2" t="s">
        <v>381</v>
      </c>
      <c r="C115" s="5">
        <v>41876</v>
      </c>
      <c r="D115" s="2" t="s">
        <v>20</v>
      </c>
      <c r="E115" s="2" t="s">
        <v>382</v>
      </c>
      <c r="F115" s="2" t="s">
        <v>383</v>
      </c>
      <c r="G115" s="2" t="s">
        <v>23</v>
      </c>
      <c r="H115" s="2" t="s">
        <v>24</v>
      </c>
      <c r="I115" s="2" t="s">
        <v>384</v>
      </c>
      <c r="J115" s="2" t="s">
        <v>385</v>
      </c>
      <c r="K115" s="2">
        <v>43229</v>
      </c>
      <c r="L115" s="2" t="s">
        <v>122</v>
      </c>
      <c r="M115" s="2" t="s">
        <v>386</v>
      </c>
      <c r="N115" s="2" t="s">
        <v>41</v>
      </c>
      <c r="O115" s="2" t="s">
        <v>214</v>
      </c>
      <c r="P115" s="4">
        <v>40.095999999999997</v>
      </c>
      <c r="Q115" s="2">
        <v>14</v>
      </c>
      <c r="R115" s="3">
        <v>0.2</v>
      </c>
      <c r="S115" s="4">
        <v>14.534800000000001</v>
      </c>
      <c r="T115" s="2" t="str">
        <f>TEXT(SalesData[[#This Row],[Order Date]],"mmm")</f>
        <v>Aug</v>
      </c>
      <c r="U115" s="2">
        <f>YEAR(SalesData[[#This Row],[Order Date]])</f>
        <v>2014</v>
      </c>
      <c r="V115" s="2" t="str">
        <f>IF(SalesData[[#This Row],[Profit]]&gt;0,"Profit","Loss")</f>
        <v>Profit</v>
      </c>
      <c r="W115" s="2" t="str">
        <f>IF(SalesData[[#This Row],[Profit]]&gt;100,"High Profit",
IF(SalesData[[#This Row],[Profit]]&gt;0,"Low Profit","Loss"))</f>
        <v>Low Profit</v>
      </c>
      <c r="X115" s="2" t="str">
        <f>IF(AND(SalesData[[#This Row],[Sales]]&gt;500,SalesData[[#This Row],[Profit]]&gt;0),"Good Order","Review")</f>
        <v>Review</v>
      </c>
      <c r="Y115" s="2"/>
      <c r="Z115" s="2"/>
      <c r="AA115" s="2"/>
      <c r="AB115" s="2"/>
    </row>
    <row r="116" spans="1:28" x14ac:dyDescent="0.3">
      <c r="A116" s="2">
        <v>115</v>
      </c>
      <c r="B116" s="2" t="s">
        <v>381</v>
      </c>
      <c r="C116" s="5">
        <v>41876</v>
      </c>
      <c r="D116" s="2" t="s">
        <v>20</v>
      </c>
      <c r="E116" s="2" t="s">
        <v>382</v>
      </c>
      <c r="F116" s="2" t="s">
        <v>383</v>
      </c>
      <c r="G116" s="2" t="s">
        <v>23</v>
      </c>
      <c r="H116" s="2" t="s">
        <v>24</v>
      </c>
      <c r="I116" s="2" t="s">
        <v>384</v>
      </c>
      <c r="J116" s="2" t="s">
        <v>385</v>
      </c>
      <c r="K116" s="2">
        <v>43229</v>
      </c>
      <c r="L116" s="2" t="s">
        <v>122</v>
      </c>
      <c r="M116" s="2" t="s">
        <v>387</v>
      </c>
      <c r="N116" s="2" t="s">
        <v>41</v>
      </c>
      <c r="O116" s="2" t="s">
        <v>141</v>
      </c>
      <c r="P116" s="4">
        <v>4.72</v>
      </c>
      <c r="Q116" s="2">
        <v>2</v>
      </c>
      <c r="R116" s="3">
        <v>0.2</v>
      </c>
      <c r="S116" s="4">
        <v>1.6519999999999999</v>
      </c>
      <c r="T116" s="2" t="str">
        <f>TEXT(SalesData[[#This Row],[Order Date]],"mmm")</f>
        <v>Aug</v>
      </c>
      <c r="U116" s="2">
        <f>YEAR(SalesData[[#This Row],[Order Date]])</f>
        <v>2014</v>
      </c>
      <c r="V116" s="2" t="str">
        <f>IF(SalesData[[#This Row],[Profit]]&gt;0,"Profit","Loss")</f>
        <v>Profit</v>
      </c>
      <c r="W116" s="2" t="str">
        <f>IF(SalesData[[#This Row],[Profit]]&gt;100,"High Profit",
IF(SalesData[[#This Row],[Profit]]&gt;0,"Low Profit","Loss"))</f>
        <v>Low Profit</v>
      </c>
      <c r="X116" s="2" t="str">
        <f>IF(AND(SalesData[[#This Row],[Sales]]&gt;500,SalesData[[#This Row],[Profit]]&gt;0),"Good Order","Review")</f>
        <v>Review</v>
      </c>
      <c r="Y116" s="2"/>
      <c r="Z116" s="2"/>
      <c r="AA116" s="2"/>
      <c r="AB116" s="2"/>
    </row>
    <row r="117" spans="1:28" x14ac:dyDescent="0.3">
      <c r="A117" s="2">
        <v>116</v>
      </c>
      <c r="B117" s="2" t="s">
        <v>381</v>
      </c>
      <c r="C117" s="5">
        <v>41876</v>
      </c>
      <c r="D117" s="2" t="s">
        <v>20</v>
      </c>
      <c r="E117" s="2" t="s">
        <v>382</v>
      </c>
      <c r="F117" s="2" t="s">
        <v>383</v>
      </c>
      <c r="G117" s="2" t="s">
        <v>23</v>
      </c>
      <c r="H117" s="2" t="s">
        <v>24</v>
      </c>
      <c r="I117" s="2" t="s">
        <v>384</v>
      </c>
      <c r="J117" s="2" t="s">
        <v>385</v>
      </c>
      <c r="K117" s="2">
        <v>43229</v>
      </c>
      <c r="L117" s="2" t="s">
        <v>122</v>
      </c>
      <c r="M117" s="2" t="s">
        <v>388</v>
      </c>
      <c r="N117" s="2" t="s">
        <v>41</v>
      </c>
      <c r="O117" s="2" t="s">
        <v>75</v>
      </c>
      <c r="P117" s="4">
        <v>23.975999999999999</v>
      </c>
      <c r="Q117" s="2">
        <v>3</v>
      </c>
      <c r="R117" s="3">
        <v>0.2</v>
      </c>
      <c r="S117" s="4">
        <v>7.4924999999999997</v>
      </c>
      <c r="T117" s="2" t="str">
        <f>TEXT(SalesData[[#This Row],[Order Date]],"mmm")</f>
        <v>Aug</v>
      </c>
      <c r="U117" s="2">
        <f>YEAR(SalesData[[#This Row],[Order Date]])</f>
        <v>2014</v>
      </c>
      <c r="V117" s="2" t="str">
        <f>IF(SalesData[[#This Row],[Profit]]&gt;0,"Profit","Loss")</f>
        <v>Profit</v>
      </c>
      <c r="W117" s="2" t="str">
        <f>IF(SalesData[[#This Row],[Profit]]&gt;100,"High Profit",
IF(SalesData[[#This Row],[Profit]]&gt;0,"Low Profit","Loss"))</f>
        <v>Low Profit</v>
      </c>
      <c r="X117" s="2" t="str">
        <f>IF(AND(SalesData[[#This Row],[Sales]]&gt;500,SalesData[[#This Row],[Profit]]&gt;0),"Good Order","Review")</f>
        <v>Review</v>
      </c>
      <c r="Y117" s="2"/>
      <c r="Z117" s="2"/>
      <c r="AA117" s="2"/>
      <c r="AB117" s="2"/>
    </row>
    <row r="118" spans="1:28" x14ac:dyDescent="0.3">
      <c r="A118" s="2">
        <v>117</v>
      </c>
      <c r="B118" s="2" t="s">
        <v>381</v>
      </c>
      <c r="C118" s="5">
        <v>41876</v>
      </c>
      <c r="D118" s="2" t="s">
        <v>20</v>
      </c>
      <c r="E118" s="2" t="s">
        <v>382</v>
      </c>
      <c r="F118" s="2" t="s">
        <v>383</v>
      </c>
      <c r="G118" s="2" t="s">
        <v>23</v>
      </c>
      <c r="H118" s="2" t="s">
        <v>24</v>
      </c>
      <c r="I118" s="2" t="s">
        <v>384</v>
      </c>
      <c r="J118" s="2" t="s">
        <v>385</v>
      </c>
      <c r="K118" s="2">
        <v>43229</v>
      </c>
      <c r="L118" s="2" t="s">
        <v>122</v>
      </c>
      <c r="M118" s="2" t="s">
        <v>389</v>
      </c>
      <c r="N118" s="2" t="s">
        <v>41</v>
      </c>
      <c r="O118" s="2" t="s">
        <v>141</v>
      </c>
      <c r="P118" s="4">
        <v>130.464</v>
      </c>
      <c r="Q118" s="2">
        <v>6</v>
      </c>
      <c r="R118" s="3">
        <v>0.2</v>
      </c>
      <c r="S118" s="4">
        <v>44.031599999999997</v>
      </c>
      <c r="T118" s="2" t="str">
        <f>TEXT(SalesData[[#This Row],[Order Date]],"mmm")</f>
        <v>Aug</v>
      </c>
      <c r="U118" s="2">
        <f>YEAR(SalesData[[#This Row],[Order Date]])</f>
        <v>2014</v>
      </c>
      <c r="V118" s="2" t="str">
        <f>IF(SalesData[[#This Row],[Profit]]&gt;0,"Profit","Loss")</f>
        <v>Profit</v>
      </c>
      <c r="W118" s="2" t="str">
        <f>IF(SalesData[[#This Row],[Profit]]&gt;100,"High Profit",
IF(SalesData[[#This Row],[Profit]]&gt;0,"Low Profit","Loss"))</f>
        <v>Low Profit</v>
      </c>
      <c r="X118" s="2" t="str">
        <f>IF(AND(SalesData[[#This Row],[Sales]]&gt;500,SalesData[[#This Row],[Profit]]&gt;0),"Good Order","Review")</f>
        <v>Review</v>
      </c>
      <c r="Y118" s="2"/>
      <c r="Z118" s="2"/>
      <c r="AA118" s="2"/>
      <c r="AB118" s="2"/>
    </row>
    <row r="119" spans="1:28" x14ac:dyDescent="0.3">
      <c r="A119" s="2">
        <v>118</v>
      </c>
      <c r="B119" s="2" t="s">
        <v>390</v>
      </c>
      <c r="C119" s="5">
        <v>42038</v>
      </c>
      <c r="D119" s="2" t="s">
        <v>44</v>
      </c>
      <c r="E119" s="2" t="s">
        <v>391</v>
      </c>
      <c r="F119" s="2" t="s">
        <v>392</v>
      </c>
      <c r="G119" s="2" t="s">
        <v>23</v>
      </c>
      <c r="H119" s="2" t="s">
        <v>24</v>
      </c>
      <c r="I119" s="2" t="s">
        <v>79</v>
      </c>
      <c r="J119" s="2" t="s">
        <v>80</v>
      </c>
      <c r="K119" s="2">
        <v>98103</v>
      </c>
      <c r="L119" s="2" t="s">
        <v>39</v>
      </c>
      <c r="M119" s="2" t="s">
        <v>393</v>
      </c>
      <c r="N119" s="2" t="s">
        <v>29</v>
      </c>
      <c r="O119" s="2" t="s">
        <v>50</v>
      </c>
      <c r="P119" s="4">
        <v>787.53</v>
      </c>
      <c r="Q119" s="2">
        <v>3</v>
      </c>
      <c r="R119" s="3">
        <v>0</v>
      </c>
      <c r="S119" s="4">
        <v>165.38130000000001</v>
      </c>
      <c r="T119" s="2" t="str">
        <f>TEXT(SalesData[[#This Row],[Order Date]],"mmm")</f>
        <v>Feb</v>
      </c>
      <c r="U119" s="2">
        <f>YEAR(SalesData[[#This Row],[Order Date]])</f>
        <v>2015</v>
      </c>
      <c r="V119" s="2" t="str">
        <f>IF(SalesData[[#This Row],[Profit]]&gt;0,"Profit","Loss")</f>
        <v>Profit</v>
      </c>
      <c r="W119" s="2" t="str">
        <f>IF(SalesData[[#This Row],[Profit]]&gt;100,"High Profit",
IF(SalesData[[#This Row],[Profit]]&gt;0,"Low Profit","Loss"))</f>
        <v>High Profit</v>
      </c>
      <c r="X119" s="2" t="str">
        <f>IF(AND(SalesData[[#This Row],[Sales]]&gt;500,SalesData[[#This Row],[Profit]]&gt;0),"Good Order","Review")</f>
        <v>Good Order</v>
      </c>
      <c r="Y119" s="2"/>
      <c r="Z119" s="2"/>
      <c r="AA119" s="2"/>
      <c r="AB119" s="2"/>
    </row>
    <row r="120" spans="1:28" x14ac:dyDescent="0.3">
      <c r="A120" s="2">
        <v>119</v>
      </c>
      <c r="B120" s="2" t="s">
        <v>394</v>
      </c>
      <c r="C120" s="5">
        <v>42128</v>
      </c>
      <c r="D120" s="2" t="s">
        <v>44</v>
      </c>
      <c r="E120" s="2" t="s">
        <v>395</v>
      </c>
      <c r="F120" s="2" t="s">
        <v>396</v>
      </c>
      <c r="G120" s="2" t="s">
        <v>36</v>
      </c>
      <c r="H120" s="2" t="s">
        <v>24</v>
      </c>
      <c r="I120" s="2" t="s">
        <v>397</v>
      </c>
      <c r="J120" s="2" t="s">
        <v>262</v>
      </c>
      <c r="K120" s="2">
        <v>37620</v>
      </c>
      <c r="L120" s="2" t="s">
        <v>27</v>
      </c>
      <c r="M120" s="2" t="s">
        <v>398</v>
      </c>
      <c r="N120" s="2" t="s">
        <v>41</v>
      </c>
      <c r="O120" s="2" t="s">
        <v>64</v>
      </c>
      <c r="P120" s="4">
        <v>157.79400000000001</v>
      </c>
      <c r="Q120" s="2">
        <v>1</v>
      </c>
      <c r="R120" s="3">
        <v>0.7</v>
      </c>
      <c r="S120" s="4">
        <v>-115.71559999999999</v>
      </c>
      <c r="T120" s="2" t="str">
        <f>TEXT(SalesData[[#This Row],[Order Date]],"mmm")</f>
        <v>May</v>
      </c>
      <c r="U120" s="2">
        <f>YEAR(SalesData[[#This Row],[Order Date]])</f>
        <v>2015</v>
      </c>
      <c r="V120" s="2" t="str">
        <f>IF(SalesData[[#This Row],[Profit]]&gt;0,"Profit","Loss")</f>
        <v>Loss</v>
      </c>
      <c r="W120" s="2" t="str">
        <f>IF(SalesData[[#This Row],[Profit]]&gt;100,"High Profit",
IF(SalesData[[#This Row],[Profit]]&gt;0,"Low Profit","Loss"))</f>
        <v>Loss</v>
      </c>
      <c r="X120" s="2" t="str">
        <f>IF(AND(SalesData[[#This Row],[Sales]]&gt;500,SalesData[[#This Row],[Profit]]&gt;0),"Good Order","Review")</f>
        <v>Review</v>
      </c>
      <c r="Y120" s="2"/>
      <c r="Z120" s="2"/>
      <c r="AA120" s="2"/>
      <c r="AB120" s="2"/>
    </row>
    <row r="121" spans="1:28" x14ac:dyDescent="0.3">
      <c r="A121" s="2">
        <v>120</v>
      </c>
      <c r="B121" s="2" t="s">
        <v>399</v>
      </c>
      <c r="C121" s="5">
        <v>42710</v>
      </c>
      <c r="D121" s="2" t="s">
        <v>151</v>
      </c>
      <c r="E121" s="2" t="s">
        <v>400</v>
      </c>
      <c r="F121" s="2" t="s">
        <v>401</v>
      </c>
      <c r="G121" s="2" t="s">
        <v>23</v>
      </c>
      <c r="H121" s="2" t="s">
        <v>24</v>
      </c>
      <c r="I121" s="2" t="s">
        <v>402</v>
      </c>
      <c r="J121" s="2" t="s">
        <v>196</v>
      </c>
      <c r="K121" s="2">
        <v>19805</v>
      </c>
      <c r="L121" s="2" t="s">
        <v>122</v>
      </c>
      <c r="M121" s="2" t="s">
        <v>403</v>
      </c>
      <c r="N121" s="2" t="s">
        <v>29</v>
      </c>
      <c r="O121" s="2" t="s">
        <v>57</v>
      </c>
      <c r="P121" s="4">
        <v>47.04</v>
      </c>
      <c r="Q121" s="2">
        <v>3</v>
      </c>
      <c r="R121" s="3">
        <v>0</v>
      </c>
      <c r="S121" s="4">
        <v>18.345600000000001</v>
      </c>
      <c r="T121" s="2" t="str">
        <f>TEXT(SalesData[[#This Row],[Order Date]],"mmm")</f>
        <v>Dec</v>
      </c>
      <c r="U121" s="2">
        <f>YEAR(SalesData[[#This Row],[Order Date]])</f>
        <v>2016</v>
      </c>
      <c r="V121" s="2" t="str">
        <f>IF(SalesData[[#This Row],[Profit]]&gt;0,"Profit","Loss")</f>
        <v>Profit</v>
      </c>
      <c r="W121" s="2" t="str">
        <f>IF(SalesData[[#This Row],[Profit]]&gt;100,"High Profit",
IF(SalesData[[#This Row],[Profit]]&gt;0,"Low Profit","Loss"))</f>
        <v>Low Profit</v>
      </c>
      <c r="X121" s="2" t="str">
        <f>IF(AND(SalesData[[#This Row],[Sales]]&gt;500,SalesData[[#This Row],[Profit]]&gt;0),"Good Order","Review")</f>
        <v>Review</v>
      </c>
      <c r="Y121" s="2"/>
      <c r="Z121" s="2"/>
      <c r="AA121" s="2"/>
      <c r="AB121" s="2"/>
    </row>
    <row r="122" spans="1:28" x14ac:dyDescent="0.3">
      <c r="A122" s="2">
        <v>121</v>
      </c>
      <c r="B122" s="2" t="s">
        <v>399</v>
      </c>
      <c r="C122" s="5">
        <v>42710</v>
      </c>
      <c r="D122" s="2" t="s">
        <v>151</v>
      </c>
      <c r="E122" s="2" t="s">
        <v>400</v>
      </c>
      <c r="F122" s="2" t="s">
        <v>401</v>
      </c>
      <c r="G122" s="2" t="s">
        <v>23</v>
      </c>
      <c r="H122" s="2" t="s">
        <v>24</v>
      </c>
      <c r="I122" s="2" t="s">
        <v>402</v>
      </c>
      <c r="J122" s="2" t="s">
        <v>196</v>
      </c>
      <c r="K122" s="2">
        <v>19805</v>
      </c>
      <c r="L122" s="2" t="s">
        <v>122</v>
      </c>
      <c r="M122" s="2" t="s">
        <v>63</v>
      </c>
      <c r="N122" s="2" t="s">
        <v>41</v>
      </c>
      <c r="O122" s="2" t="s">
        <v>64</v>
      </c>
      <c r="P122" s="4">
        <v>30.84</v>
      </c>
      <c r="Q122" s="2">
        <v>4</v>
      </c>
      <c r="R122" s="3">
        <v>0</v>
      </c>
      <c r="S122" s="4">
        <v>13.878</v>
      </c>
      <c r="T122" s="2" t="str">
        <f>TEXT(SalesData[[#This Row],[Order Date]],"mmm")</f>
        <v>Dec</v>
      </c>
      <c r="U122" s="2">
        <f>YEAR(SalesData[[#This Row],[Order Date]])</f>
        <v>2016</v>
      </c>
      <c r="V122" s="2" t="str">
        <f>IF(SalesData[[#This Row],[Profit]]&gt;0,"Profit","Loss")</f>
        <v>Profit</v>
      </c>
      <c r="W122" s="2" t="str">
        <f>IF(SalesData[[#This Row],[Profit]]&gt;100,"High Profit",
IF(SalesData[[#This Row],[Profit]]&gt;0,"Low Profit","Loss"))</f>
        <v>Low Profit</v>
      </c>
      <c r="X122" s="2" t="str">
        <f>IF(AND(SalesData[[#This Row],[Sales]]&gt;500,SalesData[[#This Row],[Profit]]&gt;0),"Good Order","Review")</f>
        <v>Review</v>
      </c>
      <c r="Y122" s="2"/>
      <c r="Z122" s="2"/>
      <c r="AA122" s="2"/>
      <c r="AB122" s="2"/>
    </row>
    <row r="123" spans="1:28" x14ac:dyDescent="0.3">
      <c r="A123" s="2">
        <v>122</v>
      </c>
      <c r="B123" s="2" t="s">
        <v>399</v>
      </c>
      <c r="C123" s="5">
        <v>42710</v>
      </c>
      <c r="D123" s="2" t="s">
        <v>151</v>
      </c>
      <c r="E123" s="2" t="s">
        <v>400</v>
      </c>
      <c r="F123" s="2" t="s">
        <v>401</v>
      </c>
      <c r="G123" s="2" t="s">
        <v>23</v>
      </c>
      <c r="H123" s="2" t="s">
        <v>24</v>
      </c>
      <c r="I123" s="2" t="s">
        <v>402</v>
      </c>
      <c r="J123" s="2" t="s">
        <v>196</v>
      </c>
      <c r="K123" s="2">
        <v>19805</v>
      </c>
      <c r="L123" s="2" t="s">
        <v>122</v>
      </c>
      <c r="M123" s="2" t="s">
        <v>404</v>
      </c>
      <c r="N123" s="2" t="s">
        <v>41</v>
      </c>
      <c r="O123" s="2" t="s">
        <v>52</v>
      </c>
      <c r="P123" s="4">
        <v>226.56</v>
      </c>
      <c r="Q123" s="2">
        <v>6</v>
      </c>
      <c r="R123" s="3">
        <v>0</v>
      </c>
      <c r="S123" s="4">
        <v>63.436799999999998</v>
      </c>
      <c r="T123" s="2" t="str">
        <f>TEXT(SalesData[[#This Row],[Order Date]],"mmm")</f>
        <v>Dec</v>
      </c>
      <c r="U123" s="2">
        <f>YEAR(SalesData[[#This Row],[Order Date]])</f>
        <v>2016</v>
      </c>
      <c r="V123" s="2" t="str">
        <f>IF(SalesData[[#This Row],[Profit]]&gt;0,"Profit","Loss")</f>
        <v>Profit</v>
      </c>
      <c r="W123" s="2" t="str">
        <f>IF(SalesData[[#This Row],[Profit]]&gt;100,"High Profit",
IF(SalesData[[#This Row],[Profit]]&gt;0,"Low Profit","Loss"))</f>
        <v>Low Profit</v>
      </c>
      <c r="X123" s="2" t="str">
        <f>IF(AND(SalesData[[#This Row],[Sales]]&gt;500,SalesData[[#This Row],[Profit]]&gt;0),"Good Order","Review")</f>
        <v>Review</v>
      </c>
      <c r="Y123" s="2"/>
      <c r="Z123" s="2"/>
      <c r="AA123" s="2"/>
      <c r="AB123" s="2"/>
    </row>
    <row r="124" spans="1:28" x14ac:dyDescent="0.3">
      <c r="A124" s="2">
        <v>123</v>
      </c>
      <c r="B124" s="2" t="s">
        <v>399</v>
      </c>
      <c r="C124" s="5">
        <v>42710</v>
      </c>
      <c r="D124" s="2" t="s">
        <v>151</v>
      </c>
      <c r="E124" s="2" t="s">
        <v>400</v>
      </c>
      <c r="F124" s="2" t="s">
        <v>401</v>
      </c>
      <c r="G124" s="2" t="s">
        <v>23</v>
      </c>
      <c r="H124" s="2" t="s">
        <v>24</v>
      </c>
      <c r="I124" s="2" t="s">
        <v>402</v>
      </c>
      <c r="J124" s="2" t="s">
        <v>196</v>
      </c>
      <c r="K124" s="2">
        <v>19805</v>
      </c>
      <c r="L124" s="2" t="s">
        <v>122</v>
      </c>
      <c r="M124" s="2" t="s">
        <v>405</v>
      </c>
      <c r="N124" s="2" t="s">
        <v>41</v>
      </c>
      <c r="O124" s="2" t="s">
        <v>141</v>
      </c>
      <c r="P124" s="4">
        <v>115.02</v>
      </c>
      <c r="Q124" s="2">
        <v>9</v>
      </c>
      <c r="R124" s="3">
        <v>0</v>
      </c>
      <c r="S124" s="4">
        <v>51.759</v>
      </c>
      <c r="T124" s="2" t="str">
        <f>TEXT(SalesData[[#This Row],[Order Date]],"mmm")</f>
        <v>Dec</v>
      </c>
      <c r="U124" s="2">
        <f>YEAR(SalesData[[#This Row],[Order Date]])</f>
        <v>2016</v>
      </c>
      <c r="V124" s="2" t="str">
        <f>IF(SalesData[[#This Row],[Profit]]&gt;0,"Profit","Loss")</f>
        <v>Profit</v>
      </c>
      <c r="W124" s="2" t="str">
        <f>IF(SalesData[[#This Row],[Profit]]&gt;100,"High Profit",
IF(SalesData[[#This Row],[Profit]]&gt;0,"Low Profit","Loss"))</f>
        <v>Low Profit</v>
      </c>
      <c r="X124" s="2" t="str">
        <f>IF(AND(SalesData[[#This Row],[Sales]]&gt;500,SalesData[[#This Row],[Profit]]&gt;0),"Good Order","Review")</f>
        <v>Review</v>
      </c>
      <c r="Y124" s="2"/>
      <c r="Z124" s="2"/>
      <c r="AA124" s="2"/>
      <c r="AB124" s="2"/>
    </row>
    <row r="125" spans="1:28" x14ac:dyDescent="0.3">
      <c r="A125" s="2">
        <v>124</v>
      </c>
      <c r="B125" s="2" t="s">
        <v>399</v>
      </c>
      <c r="C125" s="5">
        <v>42710</v>
      </c>
      <c r="D125" s="2" t="s">
        <v>151</v>
      </c>
      <c r="E125" s="2" t="s">
        <v>400</v>
      </c>
      <c r="F125" s="2" t="s">
        <v>401</v>
      </c>
      <c r="G125" s="2" t="s">
        <v>23</v>
      </c>
      <c r="H125" s="2" t="s">
        <v>24</v>
      </c>
      <c r="I125" s="2" t="s">
        <v>402</v>
      </c>
      <c r="J125" s="2" t="s">
        <v>196</v>
      </c>
      <c r="K125" s="2">
        <v>19805</v>
      </c>
      <c r="L125" s="2" t="s">
        <v>122</v>
      </c>
      <c r="M125" s="2" t="s">
        <v>406</v>
      </c>
      <c r="N125" s="2" t="s">
        <v>61</v>
      </c>
      <c r="O125" s="2" t="s">
        <v>62</v>
      </c>
      <c r="P125" s="4">
        <v>68.040000000000006</v>
      </c>
      <c r="Q125" s="2">
        <v>7</v>
      </c>
      <c r="R125" s="3">
        <v>0</v>
      </c>
      <c r="S125" s="4">
        <v>19.7316</v>
      </c>
      <c r="T125" s="2" t="str">
        <f>TEXT(SalesData[[#This Row],[Order Date]],"mmm")</f>
        <v>Dec</v>
      </c>
      <c r="U125" s="2">
        <f>YEAR(SalesData[[#This Row],[Order Date]])</f>
        <v>2016</v>
      </c>
      <c r="V125" s="2" t="str">
        <f>IF(SalesData[[#This Row],[Profit]]&gt;0,"Profit","Loss")</f>
        <v>Profit</v>
      </c>
      <c r="W125" s="2" t="str">
        <f>IF(SalesData[[#This Row],[Profit]]&gt;100,"High Profit",
IF(SalesData[[#This Row],[Profit]]&gt;0,"Low Profit","Loss"))</f>
        <v>Low Profit</v>
      </c>
      <c r="X125" s="2" t="str">
        <f>IF(AND(SalesData[[#This Row],[Sales]]&gt;500,SalesData[[#This Row],[Profit]]&gt;0),"Good Order","Review")</f>
        <v>Review</v>
      </c>
      <c r="Y125" s="2"/>
      <c r="Z125" s="2"/>
      <c r="AA125" s="2"/>
      <c r="AB125" s="2"/>
    </row>
    <row r="126" spans="1:28" x14ac:dyDescent="0.3">
      <c r="A126" s="2">
        <v>125</v>
      </c>
      <c r="B126" s="2" t="s">
        <v>407</v>
      </c>
      <c r="C126" s="5">
        <v>41999</v>
      </c>
      <c r="D126" s="2" t="s">
        <v>20</v>
      </c>
      <c r="E126" s="2" t="s">
        <v>408</v>
      </c>
      <c r="F126" s="2" t="s">
        <v>409</v>
      </c>
      <c r="G126" s="2" t="s">
        <v>85</v>
      </c>
      <c r="H126" s="2" t="s">
        <v>24</v>
      </c>
      <c r="I126" s="2" t="s">
        <v>148</v>
      </c>
      <c r="J126" s="2" t="s">
        <v>87</v>
      </c>
      <c r="K126" s="2">
        <v>77041</v>
      </c>
      <c r="L126" s="2" t="s">
        <v>88</v>
      </c>
      <c r="M126" s="2" t="s">
        <v>410</v>
      </c>
      <c r="N126" s="2" t="s">
        <v>29</v>
      </c>
      <c r="O126" s="2" t="s">
        <v>32</v>
      </c>
      <c r="P126" s="4">
        <v>600.55799999999999</v>
      </c>
      <c r="Q126" s="2">
        <v>3</v>
      </c>
      <c r="R126" s="3">
        <v>0.3</v>
      </c>
      <c r="S126" s="4">
        <v>-8.5793999999999997</v>
      </c>
      <c r="T126" s="2" t="str">
        <f>TEXT(SalesData[[#This Row],[Order Date]],"mmm")</f>
        <v>Dec</v>
      </c>
      <c r="U126" s="2">
        <f>YEAR(SalesData[[#This Row],[Order Date]])</f>
        <v>2014</v>
      </c>
      <c r="V126" s="2" t="str">
        <f>IF(SalesData[[#This Row],[Profit]]&gt;0,"Profit","Loss")</f>
        <v>Loss</v>
      </c>
      <c r="W126" s="2" t="str">
        <f>IF(SalesData[[#This Row],[Profit]]&gt;100,"High Profit",
IF(SalesData[[#This Row],[Profit]]&gt;0,"Low Profit","Loss"))</f>
        <v>Loss</v>
      </c>
      <c r="X126" s="2" t="str">
        <f>IF(AND(SalesData[[#This Row],[Sales]]&gt;500,SalesData[[#This Row],[Profit]]&gt;0),"Good Order","Review")</f>
        <v>Review</v>
      </c>
      <c r="Y126" s="2"/>
      <c r="Z126" s="2"/>
      <c r="AA126" s="2"/>
      <c r="AB126" s="2"/>
    </row>
    <row r="127" spans="1:28" x14ac:dyDescent="0.3">
      <c r="A127" s="2">
        <v>126</v>
      </c>
      <c r="B127" s="2" t="s">
        <v>411</v>
      </c>
      <c r="C127" s="5">
        <v>41902</v>
      </c>
      <c r="D127" s="2" t="s">
        <v>44</v>
      </c>
      <c r="E127" s="2" t="s">
        <v>412</v>
      </c>
      <c r="F127" s="2" t="s">
        <v>413</v>
      </c>
      <c r="G127" s="2" t="s">
        <v>23</v>
      </c>
      <c r="H127" s="2" t="s">
        <v>24</v>
      </c>
      <c r="I127" s="2" t="s">
        <v>414</v>
      </c>
      <c r="J127" s="2" t="s">
        <v>168</v>
      </c>
      <c r="K127" s="2">
        <v>61701</v>
      </c>
      <c r="L127" s="2" t="s">
        <v>88</v>
      </c>
      <c r="M127" s="2" t="s">
        <v>415</v>
      </c>
      <c r="N127" s="2" t="s">
        <v>29</v>
      </c>
      <c r="O127" s="2" t="s">
        <v>50</v>
      </c>
      <c r="P127" s="4">
        <v>617.70000000000005</v>
      </c>
      <c r="Q127" s="2">
        <v>6</v>
      </c>
      <c r="R127" s="3">
        <v>0.5</v>
      </c>
      <c r="S127" s="4">
        <v>-407.68200000000002</v>
      </c>
      <c r="T127" s="2" t="str">
        <f>TEXT(SalesData[[#This Row],[Order Date]],"mmm")</f>
        <v>Sep</v>
      </c>
      <c r="U127" s="2">
        <f>YEAR(SalesData[[#This Row],[Order Date]])</f>
        <v>2014</v>
      </c>
      <c r="V127" s="2" t="str">
        <f>IF(SalesData[[#This Row],[Profit]]&gt;0,"Profit","Loss")</f>
        <v>Loss</v>
      </c>
      <c r="W127" s="2" t="str">
        <f>IF(SalesData[[#This Row],[Profit]]&gt;100,"High Profit",
IF(SalesData[[#This Row],[Profit]]&gt;0,"Low Profit","Loss"))</f>
        <v>Loss</v>
      </c>
      <c r="X127" s="2" t="str">
        <f>IF(AND(SalesData[[#This Row],[Sales]]&gt;500,SalesData[[#This Row],[Profit]]&gt;0),"Good Order","Review")</f>
        <v>Review</v>
      </c>
      <c r="Y127" s="2"/>
      <c r="Z127" s="2"/>
      <c r="AA127" s="2"/>
      <c r="AB127" s="2"/>
    </row>
    <row r="128" spans="1:28" x14ac:dyDescent="0.3">
      <c r="A128" s="2">
        <v>127</v>
      </c>
      <c r="B128" s="2" t="s">
        <v>416</v>
      </c>
      <c r="C128" s="5">
        <v>42866</v>
      </c>
      <c r="D128" s="2" t="s">
        <v>44</v>
      </c>
      <c r="E128" s="2" t="s">
        <v>417</v>
      </c>
      <c r="F128" s="2" t="s">
        <v>418</v>
      </c>
      <c r="G128" s="2" t="s">
        <v>23</v>
      </c>
      <c r="H128" s="2" t="s">
        <v>24</v>
      </c>
      <c r="I128" s="2" t="s">
        <v>419</v>
      </c>
      <c r="J128" s="2" t="s">
        <v>242</v>
      </c>
      <c r="K128" s="2">
        <v>85023</v>
      </c>
      <c r="L128" s="2" t="s">
        <v>39</v>
      </c>
      <c r="M128" s="2" t="s">
        <v>420</v>
      </c>
      <c r="N128" s="2" t="s">
        <v>41</v>
      </c>
      <c r="O128" s="2" t="s">
        <v>64</v>
      </c>
      <c r="P128" s="4">
        <v>2.3879999999999999</v>
      </c>
      <c r="Q128" s="2">
        <v>2</v>
      </c>
      <c r="R128" s="3">
        <v>0.7</v>
      </c>
      <c r="S128" s="4">
        <v>-1.8308</v>
      </c>
      <c r="T128" s="2" t="str">
        <f>TEXT(SalesData[[#This Row],[Order Date]],"mmm")</f>
        <v>May</v>
      </c>
      <c r="U128" s="2">
        <f>YEAR(SalesData[[#This Row],[Order Date]])</f>
        <v>2017</v>
      </c>
      <c r="V128" s="2" t="str">
        <f>IF(SalesData[[#This Row],[Profit]]&gt;0,"Profit","Loss")</f>
        <v>Loss</v>
      </c>
      <c r="W128" s="2" t="str">
        <f>IF(SalesData[[#This Row],[Profit]]&gt;100,"High Profit",
IF(SalesData[[#This Row],[Profit]]&gt;0,"Low Profit","Loss"))</f>
        <v>Loss</v>
      </c>
      <c r="X128" s="2" t="str">
        <f>IF(AND(SalesData[[#This Row],[Sales]]&gt;500,SalesData[[#This Row],[Profit]]&gt;0),"Good Order","Review")</f>
        <v>Review</v>
      </c>
      <c r="Y128" s="2"/>
      <c r="Z128" s="2"/>
      <c r="AA128" s="2"/>
      <c r="AB128" s="2"/>
    </row>
    <row r="129" spans="1:28" x14ac:dyDescent="0.3">
      <c r="A129" s="2">
        <v>128</v>
      </c>
      <c r="B129" s="2" t="s">
        <v>416</v>
      </c>
      <c r="C129" s="5">
        <v>42866</v>
      </c>
      <c r="D129" s="2" t="s">
        <v>44</v>
      </c>
      <c r="E129" s="2" t="s">
        <v>417</v>
      </c>
      <c r="F129" s="2" t="s">
        <v>418</v>
      </c>
      <c r="G129" s="2" t="s">
        <v>23</v>
      </c>
      <c r="H129" s="2" t="s">
        <v>24</v>
      </c>
      <c r="I129" s="2" t="s">
        <v>419</v>
      </c>
      <c r="J129" s="2" t="s">
        <v>242</v>
      </c>
      <c r="K129" s="2">
        <v>85023</v>
      </c>
      <c r="L129" s="2" t="s">
        <v>39</v>
      </c>
      <c r="M129" s="2" t="s">
        <v>421</v>
      </c>
      <c r="N129" s="2" t="s">
        <v>41</v>
      </c>
      <c r="O129" s="2" t="s">
        <v>52</v>
      </c>
      <c r="P129" s="4">
        <v>243.99199999999999</v>
      </c>
      <c r="Q129" s="2">
        <v>7</v>
      </c>
      <c r="R129" s="3">
        <v>0.2</v>
      </c>
      <c r="S129" s="4">
        <v>30.498999999999999</v>
      </c>
      <c r="T129" s="2" t="str">
        <f>TEXT(SalesData[[#This Row],[Order Date]],"mmm")</f>
        <v>May</v>
      </c>
      <c r="U129" s="2">
        <f>YEAR(SalesData[[#This Row],[Order Date]])</f>
        <v>2017</v>
      </c>
      <c r="V129" s="2" t="str">
        <f>IF(SalesData[[#This Row],[Profit]]&gt;0,"Profit","Loss")</f>
        <v>Profit</v>
      </c>
      <c r="W129" s="2" t="str">
        <f>IF(SalesData[[#This Row],[Profit]]&gt;100,"High Profit",
IF(SalesData[[#This Row],[Profit]]&gt;0,"Low Profit","Loss"))</f>
        <v>Low Profit</v>
      </c>
      <c r="X129" s="2" t="str">
        <f>IF(AND(SalesData[[#This Row],[Sales]]&gt;500,SalesData[[#This Row],[Profit]]&gt;0),"Good Order","Review")</f>
        <v>Review</v>
      </c>
      <c r="Y129" s="2"/>
      <c r="Z129" s="2"/>
      <c r="AA129" s="2"/>
      <c r="AB129" s="2"/>
    </row>
    <row r="130" spans="1:28" x14ac:dyDescent="0.3">
      <c r="A130" s="2">
        <v>129</v>
      </c>
      <c r="B130" s="2" t="s">
        <v>422</v>
      </c>
      <c r="C130" s="5">
        <v>42532</v>
      </c>
      <c r="D130" s="2" t="s">
        <v>20</v>
      </c>
      <c r="E130" s="2" t="s">
        <v>423</v>
      </c>
      <c r="F130" s="2" t="s">
        <v>424</v>
      </c>
      <c r="G130" s="2" t="s">
        <v>85</v>
      </c>
      <c r="H130" s="2" t="s">
        <v>24</v>
      </c>
      <c r="I130" s="2" t="s">
        <v>37</v>
      </c>
      <c r="J130" s="2" t="s">
        <v>38</v>
      </c>
      <c r="K130" s="2">
        <v>90004</v>
      </c>
      <c r="L130" s="2" t="s">
        <v>39</v>
      </c>
      <c r="M130" s="2" t="s">
        <v>237</v>
      </c>
      <c r="N130" s="2" t="s">
        <v>29</v>
      </c>
      <c r="O130" s="2" t="s">
        <v>32</v>
      </c>
      <c r="P130" s="4">
        <v>81.424000000000007</v>
      </c>
      <c r="Q130" s="2">
        <v>2</v>
      </c>
      <c r="R130" s="3">
        <v>0.2</v>
      </c>
      <c r="S130" s="4">
        <v>-9.1601999999999997</v>
      </c>
      <c r="T130" s="2" t="str">
        <f>TEXT(SalesData[[#This Row],[Order Date]],"mmm")</f>
        <v>Jun</v>
      </c>
      <c r="U130" s="2">
        <f>YEAR(SalesData[[#This Row],[Order Date]])</f>
        <v>2016</v>
      </c>
      <c r="V130" s="2" t="str">
        <f>IF(SalesData[[#This Row],[Profit]]&gt;0,"Profit","Loss")</f>
        <v>Loss</v>
      </c>
      <c r="W130" s="2" t="str">
        <f>IF(SalesData[[#This Row],[Profit]]&gt;100,"High Profit",
IF(SalesData[[#This Row],[Profit]]&gt;0,"Low Profit","Loss"))</f>
        <v>Loss</v>
      </c>
      <c r="X130" s="2" t="str">
        <f>IF(AND(SalesData[[#This Row],[Sales]]&gt;500,SalesData[[#This Row],[Profit]]&gt;0),"Good Order","Review")</f>
        <v>Review</v>
      </c>
      <c r="Y130" s="2"/>
      <c r="Z130" s="2"/>
      <c r="AA130" s="2"/>
      <c r="AB130" s="2"/>
    </row>
    <row r="131" spans="1:28" x14ac:dyDescent="0.3">
      <c r="A131" s="2">
        <v>130</v>
      </c>
      <c r="B131" s="2" t="s">
        <v>422</v>
      </c>
      <c r="C131" s="5">
        <v>42532</v>
      </c>
      <c r="D131" s="2" t="s">
        <v>20</v>
      </c>
      <c r="E131" s="2" t="s">
        <v>423</v>
      </c>
      <c r="F131" s="2" t="s">
        <v>424</v>
      </c>
      <c r="G131" s="2" t="s">
        <v>85</v>
      </c>
      <c r="H131" s="2" t="s">
        <v>24</v>
      </c>
      <c r="I131" s="2" t="s">
        <v>37</v>
      </c>
      <c r="J131" s="2" t="s">
        <v>38</v>
      </c>
      <c r="K131" s="2">
        <v>90004</v>
      </c>
      <c r="L131" s="2" t="s">
        <v>39</v>
      </c>
      <c r="M131" s="2" t="s">
        <v>425</v>
      </c>
      <c r="N131" s="2" t="s">
        <v>29</v>
      </c>
      <c r="O131" s="2" t="s">
        <v>57</v>
      </c>
      <c r="P131" s="4">
        <v>238.56</v>
      </c>
      <c r="Q131" s="2">
        <v>3</v>
      </c>
      <c r="R131" s="3">
        <v>0</v>
      </c>
      <c r="S131" s="4">
        <v>26.241599999999998</v>
      </c>
      <c r="T131" s="2" t="str">
        <f>TEXT(SalesData[[#This Row],[Order Date]],"mmm")</f>
        <v>Jun</v>
      </c>
      <c r="U131" s="2">
        <f>YEAR(SalesData[[#This Row],[Order Date]])</f>
        <v>2016</v>
      </c>
      <c r="V131" s="2" t="str">
        <f>IF(SalesData[[#This Row],[Profit]]&gt;0,"Profit","Loss")</f>
        <v>Profit</v>
      </c>
      <c r="W131" s="2" t="str">
        <f>IF(SalesData[[#This Row],[Profit]]&gt;100,"High Profit",
IF(SalesData[[#This Row],[Profit]]&gt;0,"Low Profit","Loss"))</f>
        <v>Low Profit</v>
      </c>
      <c r="X131" s="2" t="str">
        <f>IF(AND(SalesData[[#This Row],[Sales]]&gt;500,SalesData[[#This Row],[Profit]]&gt;0),"Good Order","Review")</f>
        <v>Review</v>
      </c>
      <c r="Y131" s="2"/>
      <c r="Z131" s="2"/>
      <c r="AA131" s="2"/>
      <c r="AB131" s="2"/>
    </row>
    <row r="132" spans="1:28" x14ac:dyDescent="0.3">
      <c r="A132" s="2">
        <v>131</v>
      </c>
      <c r="B132" s="2" t="s">
        <v>426</v>
      </c>
      <c r="C132" s="5">
        <v>42768</v>
      </c>
      <c r="D132" s="2" t="s">
        <v>151</v>
      </c>
      <c r="E132" s="2" t="s">
        <v>427</v>
      </c>
      <c r="F132" s="2" t="s">
        <v>428</v>
      </c>
      <c r="G132" s="2" t="s">
        <v>36</v>
      </c>
      <c r="H132" s="2" t="s">
        <v>24</v>
      </c>
      <c r="I132" s="2" t="s">
        <v>384</v>
      </c>
      <c r="J132" s="2" t="s">
        <v>385</v>
      </c>
      <c r="K132" s="2">
        <v>43229</v>
      </c>
      <c r="L132" s="2" t="s">
        <v>122</v>
      </c>
      <c r="M132" s="2" t="s">
        <v>429</v>
      </c>
      <c r="N132" s="2" t="s">
        <v>61</v>
      </c>
      <c r="O132" s="2" t="s">
        <v>62</v>
      </c>
      <c r="P132" s="4">
        <v>59.97</v>
      </c>
      <c r="Q132" s="2">
        <v>5</v>
      </c>
      <c r="R132" s="3">
        <v>0.4</v>
      </c>
      <c r="S132" s="4">
        <v>-11.994</v>
      </c>
      <c r="T132" s="2" t="str">
        <f>TEXT(SalesData[[#This Row],[Order Date]],"mmm")</f>
        <v>Feb</v>
      </c>
      <c r="U132" s="2">
        <f>YEAR(SalesData[[#This Row],[Order Date]])</f>
        <v>2017</v>
      </c>
      <c r="V132" s="2" t="str">
        <f>IF(SalesData[[#This Row],[Profit]]&gt;0,"Profit","Loss")</f>
        <v>Loss</v>
      </c>
      <c r="W132" s="2" t="str">
        <f>IF(SalesData[[#This Row],[Profit]]&gt;100,"High Profit",
IF(SalesData[[#This Row],[Profit]]&gt;0,"Low Profit","Loss"))</f>
        <v>Loss</v>
      </c>
      <c r="X132" s="2" t="str">
        <f>IF(AND(SalesData[[#This Row],[Sales]]&gt;500,SalesData[[#This Row],[Profit]]&gt;0),"Good Order","Review")</f>
        <v>Review</v>
      </c>
      <c r="Y132" s="2"/>
      <c r="Z132" s="2"/>
      <c r="AA132" s="2"/>
      <c r="AB132" s="2"/>
    </row>
    <row r="133" spans="1:28" x14ac:dyDescent="0.3">
      <c r="A133" s="2">
        <v>132</v>
      </c>
      <c r="B133" s="2" t="s">
        <v>426</v>
      </c>
      <c r="C133" s="5">
        <v>42768</v>
      </c>
      <c r="D133" s="2" t="s">
        <v>151</v>
      </c>
      <c r="E133" s="2" t="s">
        <v>427</v>
      </c>
      <c r="F133" s="2" t="s">
        <v>428</v>
      </c>
      <c r="G133" s="2" t="s">
        <v>36</v>
      </c>
      <c r="H133" s="2" t="s">
        <v>24</v>
      </c>
      <c r="I133" s="2" t="s">
        <v>384</v>
      </c>
      <c r="J133" s="2" t="s">
        <v>385</v>
      </c>
      <c r="K133" s="2">
        <v>43229</v>
      </c>
      <c r="L133" s="2" t="s">
        <v>122</v>
      </c>
      <c r="M133" s="2" t="s">
        <v>430</v>
      </c>
      <c r="N133" s="2" t="s">
        <v>41</v>
      </c>
      <c r="O133" s="2" t="s">
        <v>75</v>
      </c>
      <c r="P133" s="4">
        <v>78.304000000000002</v>
      </c>
      <c r="Q133" s="2">
        <v>2</v>
      </c>
      <c r="R133" s="3">
        <v>0.2</v>
      </c>
      <c r="S133" s="4">
        <v>29.364000000000001</v>
      </c>
      <c r="T133" s="2" t="str">
        <f>TEXT(SalesData[[#This Row],[Order Date]],"mmm")</f>
        <v>Feb</v>
      </c>
      <c r="U133" s="2">
        <f>YEAR(SalesData[[#This Row],[Order Date]])</f>
        <v>2017</v>
      </c>
      <c r="V133" s="2" t="str">
        <f>IF(SalesData[[#This Row],[Profit]]&gt;0,"Profit","Loss")</f>
        <v>Profit</v>
      </c>
      <c r="W133" s="2" t="str">
        <f>IF(SalesData[[#This Row],[Profit]]&gt;100,"High Profit",
IF(SalesData[[#This Row],[Profit]]&gt;0,"Low Profit","Loss"))</f>
        <v>Low Profit</v>
      </c>
      <c r="X133" s="2" t="str">
        <f>IF(AND(SalesData[[#This Row],[Sales]]&gt;500,SalesData[[#This Row],[Profit]]&gt;0),"Good Order","Review")</f>
        <v>Review</v>
      </c>
      <c r="Y133" s="2"/>
      <c r="Z133" s="2"/>
      <c r="AA133" s="2"/>
      <c r="AB133" s="2"/>
    </row>
    <row r="134" spans="1:28" x14ac:dyDescent="0.3">
      <c r="A134" s="2">
        <v>133</v>
      </c>
      <c r="B134" s="2" t="s">
        <v>426</v>
      </c>
      <c r="C134" s="5">
        <v>42768</v>
      </c>
      <c r="D134" s="2" t="s">
        <v>151</v>
      </c>
      <c r="E134" s="2" t="s">
        <v>427</v>
      </c>
      <c r="F134" s="2" t="s">
        <v>428</v>
      </c>
      <c r="G134" s="2" t="s">
        <v>36</v>
      </c>
      <c r="H134" s="2" t="s">
        <v>24</v>
      </c>
      <c r="I134" s="2" t="s">
        <v>384</v>
      </c>
      <c r="J134" s="2" t="s">
        <v>385</v>
      </c>
      <c r="K134" s="2">
        <v>43229</v>
      </c>
      <c r="L134" s="2" t="s">
        <v>122</v>
      </c>
      <c r="M134" s="2" t="s">
        <v>431</v>
      </c>
      <c r="N134" s="2" t="s">
        <v>41</v>
      </c>
      <c r="O134" s="2" t="s">
        <v>214</v>
      </c>
      <c r="P134" s="4">
        <v>21.456</v>
      </c>
      <c r="Q134" s="2">
        <v>9</v>
      </c>
      <c r="R134" s="3">
        <v>0.2</v>
      </c>
      <c r="S134" s="4">
        <v>6.9732000000000003</v>
      </c>
      <c r="T134" s="2" t="str">
        <f>TEXT(SalesData[[#This Row],[Order Date]],"mmm")</f>
        <v>Feb</v>
      </c>
      <c r="U134" s="2">
        <f>YEAR(SalesData[[#This Row],[Order Date]])</f>
        <v>2017</v>
      </c>
      <c r="V134" s="2" t="str">
        <f>IF(SalesData[[#This Row],[Profit]]&gt;0,"Profit","Loss")</f>
        <v>Profit</v>
      </c>
      <c r="W134" s="2" t="str">
        <f>IF(SalesData[[#This Row],[Profit]]&gt;100,"High Profit",
IF(SalesData[[#This Row],[Profit]]&gt;0,"Low Profit","Loss"))</f>
        <v>Low Profit</v>
      </c>
      <c r="X134" s="2" t="str">
        <f>IF(AND(SalesData[[#This Row],[Sales]]&gt;500,SalesData[[#This Row],[Profit]]&gt;0),"Good Order","Review")</f>
        <v>Review</v>
      </c>
      <c r="Y134" s="2"/>
      <c r="Z134" s="2"/>
      <c r="AA134" s="2"/>
      <c r="AB134" s="2"/>
    </row>
    <row r="135" spans="1:28" x14ac:dyDescent="0.3">
      <c r="A135" s="2">
        <v>134</v>
      </c>
      <c r="B135" s="2" t="s">
        <v>432</v>
      </c>
      <c r="C135" s="5">
        <v>42656</v>
      </c>
      <c r="D135" s="2" t="s">
        <v>44</v>
      </c>
      <c r="E135" s="2" t="s">
        <v>433</v>
      </c>
      <c r="F135" s="2" t="s">
        <v>434</v>
      </c>
      <c r="G135" s="2" t="s">
        <v>23</v>
      </c>
      <c r="H135" s="2" t="s">
        <v>24</v>
      </c>
      <c r="I135" s="2" t="s">
        <v>435</v>
      </c>
      <c r="J135" s="2" t="s">
        <v>38</v>
      </c>
      <c r="K135" s="2">
        <v>95661</v>
      </c>
      <c r="L135" s="2" t="s">
        <v>39</v>
      </c>
      <c r="M135" s="2" t="s">
        <v>436</v>
      </c>
      <c r="N135" s="2" t="s">
        <v>41</v>
      </c>
      <c r="O135" s="2" t="s">
        <v>75</v>
      </c>
      <c r="P135" s="4">
        <v>20.04</v>
      </c>
      <c r="Q135" s="2">
        <v>3</v>
      </c>
      <c r="R135" s="3">
        <v>0</v>
      </c>
      <c r="S135" s="4">
        <v>9.6191999999999993</v>
      </c>
      <c r="T135" s="2" t="str">
        <f>TEXT(SalesData[[#This Row],[Order Date]],"mmm")</f>
        <v>Oct</v>
      </c>
      <c r="U135" s="2">
        <f>YEAR(SalesData[[#This Row],[Order Date]])</f>
        <v>2016</v>
      </c>
      <c r="V135" s="2" t="str">
        <f>IF(SalesData[[#This Row],[Profit]]&gt;0,"Profit","Loss")</f>
        <v>Profit</v>
      </c>
      <c r="W135" s="2" t="str">
        <f>IF(SalesData[[#This Row],[Profit]]&gt;100,"High Profit",
IF(SalesData[[#This Row],[Profit]]&gt;0,"Low Profit","Loss"))</f>
        <v>Low Profit</v>
      </c>
      <c r="X135" s="2" t="str">
        <f>IF(AND(SalesData[[#This Row],[Sales]]&gt;500,SalesData[[#This Row],[Profit]]&gt;0),"Good Order","Review")</f>
        <v>Review</v>
      </c>
      <c r="Y135" s="2"/>
      <c r="Z135" s="2"/>
      <c r="AA135" s="2"/>
      <c r="AB135" s="2"/>
    </row>
    <row r="136" spans="1:28" x14ac:dyDescent="0.3">
      <c r="A136" s="2">
        <v>135</v>
      </c>
      <c r="B136" s="2" t="s">
        <v>432</v>
      </c>
      <c r="C136" s="5">
        <v>42656</v>
      </c>
      <c r="D136" s="2" t="s">
        <v>44</v>
      </c>
      <c r="E136" s="2" t="s">
        <v>433</v>
      </c>
      <c r="F136" s="2" t="s">
        <v>434</v>
      </c>
      <c r="G136" s="2" t="s">
        <v>23</v>
      </c>
      <c r="H136" s="2" t="s">
        <v>24</v>
      </c>
      <c r="I136" s="2" t="s">
        <v>435</v>
      </c>
      <c r="J136" s="2" t="s">
        <v>38</v>
      </c>
      <c r="K136" s="2">
        <v>95661</v>
      </c>
      <c r="L136" s="2" t="s">
        <v>39</v>
      </c>
      <c r="M136" s="2" t="s">
        <v>437</v>
      </c>
      <c r="N136" s="2" t="s">
        <v>41</v>
      </c>
      <c r="O136" s="2" t="s">
        <v>75</v>
      </c>
      <c r="P136" s="4">
        <v>35.44</v>
      </c>
      <c r="Q136" s="2">
        <v>1</v>
      </c>
      <c r="R136" s="3">
        <v>0</v>
      </c>
      <c r="S136" s="4">
        <v>16.6568</v>
      </c>
      <c r="T136" s="2" t="str">
        <f>TEXT(SalesData[[#This Row],[Order Date]],"mmm")</f>
        <v>Oct</v>
      </c>
      <c r="U136" s="2">
        <f>YEAR(SalesData[[#This Row],[Order Date]])</f>
        <v>2016</v>
      </c>
      <c r="V136" s="2" t="str">
        <f>IF(SalesData[[#This Row],[Profit]]&gt;0,"Profit","Loss")</f>
        <v>Profit</v>
      </c>
      <c r="W136" s="2" t="str">
        <f>IF(SalesData[[#This Row],[Profit]]&gt;100,"High Profit",
IF(SalesData[[#This Row],[Profit]]&gt;0,"Low Profit","Loss"))</f>
        <v>Low Profit</v>
      </c>
      <c r="X136" s="2" t="str">
        <f>IF(AND(SalesData[[#This Row],[Sales]]&gt;500,SalesData[[#This Row],[Profit]]&gt;0),"Good Order","Review")</f>
        <v>Review</v>
      </c>
      <c r="Y136" s="2"/>
      <c r="Z136" s="2"/>
      <c r="AA136" s="2"/>
      <c r="AB136" s="2"/>
    </row>
    <row r="137" spans="1:28" x14ac:dyDescent="0.3">
      <c r="A137" s="2">
        <v>136</v>
      </c>
      <c r="B137" s="2" t="s">
        <v>432</v>
      </c>
      <c r="C137" s="5">
        <v>42656</v>
      </c>
      <c r="D137" s="2" t="s">
        <v>44</v>
      </c>
      <c r="E137" s="2" t="s">
        <v>433</v>
      </c>
      <c r="F137" s="2" t="s">
        <v>434</v>
      </c>
      <c r="G137" s="2" t="s">
        <v>23</v>
      </c>
      <c r="H137" s="2" t="s">
        <v>24</v>
      </c>
      <c r="I137" s="2" t="s">
        <v>435</v>
      </c>
      <c r="J137" s="2" t="s">
        <v>38</v>
      </c>
      <c r="K137" s="2">
        <v>95661</v>
      </c>
      <c r="L137" s="2" t="s">
        <v>39</v>
      </c>
      <c r="M137" s="2" t="s">
        <v>438</v>
      </c>
      <c r="N137" s="2" t="s">
        <v>41</v>
      </c>
      <c r="O137" s="2" t="s">
        <v>59</v>
      </c>
      <c r="P137" s="4">
        <v>11.52</v>
      </c>
      <c r="Q137" s="2">
        <v>4</v>
      </c>
      <c r="R137" s="3">
        <v>0</v>
      </c>
      <c r="S137" s="4">
        <v>3.456</v>
      </c>
      <c r="T137" s="2" t="str">
        <f>TEXT(SalesData[[#This Row],[Order Date]],"mmm")</f>
        <v>Oct</v>
      </c>
      <c r="U137" s="2">
        <f>YEAR(SalesData[[#This Row],[Order Date]])</f>
        <v>2016</v>
      </c>
      <c r="V137" s="2" t="str">
        <f>IF(SalesData[[#This Row],[Profit]]&gt;0,"Profit","Loss")</f>
        <v>Profit</v>
      </c>
      <c r="W137" s="2" t="str">
        <f>IF(SalesData[[#This Row],[Profit]]&gt;100,"High Profit",
IF(SalesData[[#This Row],[Profit]]&gt;0,"Low Profit","Loss"))</f>
        <v>Low Profit</v>
      </c>
      <c r="X137" s="2" t="str">
        <f>IF(AND(SalesData[[#This Row],[Sales]]&gt;500,SalesData[[#This Row],[Profit]]&gt;0),"Good Order","Review")</f>
        <v>Review</v>
      </c>
      <c r="Y137" s="2"/>
      <c r="Z137" s="2"/>
      <c r="AA137" s="2"/>
      <c r="AB137" s="2"/>
    </row>
    <row r="138" spans="1:28" x14ac:dyDescent="0.3">
      <c r="A138" s="2">
        <v>137</v>
      </c>
      <c r="B138" s="2" t="s">
        <v>432</v>
      </c>
      <c r="C138" s="5">
        <v>42656</v>
      </c>
      <c r="D138" s="2" t="s">
        <v>44</v>
      </c>
      <c r="E138" s="2" t="s">
        <v>433</v>
      </c>
      <c r="F138" s="2" t="s">
        <v>434</v>
      </c>
      <c r="G138" s="2" t="s">
        <v>23</v>
      </c>
      <c r="H138" s="2" t="s">
        <v>24</v>
      </c>
      <c r="I138" s="2" t="s">
        <v>435</v>
      </c>
      <c r="J138" s="2" t="s">
        <v>38</v>
      </c>
      <c r="K138" s="2">
        <v>95661</v>
      </c>
      <c r="L138" s="2" t="s">
        <v>39</v>
      </c>
      <c r="M138" s="2" t="s">
        <v>439</v>
      </c>
      <c r="N138" s="2" t="s">
        <v>41</v>
      </c>
      <c r="O138" s="2" t="s">
        <v>214</v>
      </c>
      <c r="P138" s="4">
        <v>4.0199999999999996</v>
      </c>
      <c r="Q138" s="2">
        <v>2</v>
      </c>
      <c r="R138" s="3">
        <v>0</v>
      </c>
      <c r="S138" s="4">
        <v>1.9698</v>
      </c>
      <c r="T138" s="2" t="str">
        <f>TEXT(SalesData[[#This Row],[Order Date]],"mmm")</f>
        <v>Oct</v>
      </c>
      <c r="U138" s="2">
        <f>YEAR(SalesData[[#This Row],[Order Date]])</f>
        <v>2016</v>
      </c>
      <c r="V138" s="2" t="str">
        <f>IF(SalesData[[#This Row],[Profit]]&gt;0,"Profit","Loss")</f>
        <v>Profit</v>
      </c>
      <c r="W138" s="2" t="str">
        <f>IF(SalesData[[#This Row],[Profit]]&gt;100,"High Profit",
IF(SalesData[[#This Row],[Profit]]&gt;0,"Low Profit","Loss"))</f>
        <v>Low Profit</v>
      </c>
      <c r="X138" s="2" t="str">
        <f>IF(AND(SalesData[[#This Row],[Sales]]&gt;500,SalesData[[#This Row],[Profit]]&gt;0),"Good Order","Review")</f>
        <v>Review</v>
      </c>
      <c r="Y138" s="2"/>
      <c r="Z138" s="2"/>
      <c r="AA138" s="2"/>
      <c r="AB138" s="2"/>
    </row>
    <row r="139" spans="1:28" x14ac:dyDescent="0.3">
      <c r="A139" s="2">
        <v>138</v>
      </c>
      <c r="B139" s="2" t="s">
        <v>432</v>
      </c>
      <c r="C139" s="5">
        <v>42656</v>
      </c>
      <c r="D139" s="2" t="s">
        <v>44</v>
      </c>
      <c r="E139" s="2" t="s">
        <v>433</v>
      </c>
      <c r="F139" s="2" t="s">
        <v>434</v>
      </c>
      <c r="G139" s="2" t="s">
        <v>23</v>
      </c>
      <c r="H139" s="2" t="s">
        <v>24</v>
      </c>
      <c r="I139" s="2" t="s">
        <v>435</v>
      </c>
      <c r="J139" s="2" t="s">
        <v>38</v>
      </c>
      <c r="K139" s="2">
        <v>95661</v>
      </c>
      <c r="L139" s="2" t="s">
        <v>39</v>
      </c>
      <c r="M139" s="2" t="s">
        <v>440</v>
      </c>
      <c r="N139" s="2" t="s">
        <v>41</v>
      </c>
      <c r="O139" s="2" t="s">
        <v>64</v>
      </c>
      <c r="P139" s="4">
        <v>76.176000000000002</v>
      </c>
      <c r="Q139" s="2">
        <v>3</v>
      </c>
      <c r="R139" s="3">
        <v>0.2</v>
      </c>
      <c r="S139" s="4">
        <v>26.6616</v>
      </c>
      <c r="T139" s="2" t="str">
        <f>TEXT(SalesData[[#This Row],[Order Date]],"mmm")</f>
        <v>Oct</v>
      </c>
      <c r="U139" s="2">
        <f>YEAR(SalesData[[#This Row],[Order Date]])</f>
        <v>2016</v>
      </c>
      <c r="V139" s="2" t="str">
        <f>IF(SalesData[[#This Row],[Profit]]&gt;0,"Profit","Loss")</f>
        <v>Profit</v>
      </c>
      <c r="W139" s="2" t="str">
        <f>IF(SalesData[[#This Row],[Profit]]&gt;100,"High Profit",
IF(SalesData[[#This Row],[Profit]]&gt;0,"Low Profit","Loss"))</f>
        <v>Low Profit</v>
      </c>
      <c r="X139" s="2" t="str">
        <f>IF(AND(SalesData[[#This Row],[Sales]]&gt;500,SalesData[[#This Row],[Profit]]&gt;0),"Good Order","Review")</f>
        <v>Review</v>
      </c>
      <c r="Y139" s="2"/>
      <c r="Z139" s="2"/>
      <c r="AA139" s="2"/>
      <c r="AB139" s="2"/>
    </row>
    <row r="140" spans="1:28" x14ac:dyDescent="0.3">
      <c r="A140" s="2">
        <v>139</v>
      </c>
      <c r="B140" s="2" t="s">
        <v>432</v>
      </c>
      <c r="C140" s="5">
        <v>42656</v>
      </c>
      <c r="D140" s="2" t="s">
        <v>44</v>
      </c>
      <c r="E140" s="2" t="s">
        <v>433</v>
      </c>
      <c r="F140" s="2" t="s">
        <v>434</v>
      </c>
      <c r="G140" s="2" t="s">
        <v>23</v>
      </c>
      <c r="H140" s="2" t="s">
        <v>24</v>
      </c>
      <c r="I140" s="2" t="s">
        <v>435</v>
      </c>
      <c r="J140" s="2" t="s">
        <v>38</v>
      </c>
      <c r="K140" s="2">
        <v>95661</v>
      </c>
      <c r="L140" s="2" t="s">
        <v>39</v>
      </c>
      <c r="M140" s="2" t="s">
        <v>441</v>
      </c>
      <c r="N140" s="2" t="s">
        <v>41</v>
      </c>
      <c r="O140" s="2" t="s">
        <v>442</v>
      </c>
      <c r="P140" s="4">
        <v>65.88</v>
      </c>
      <c r="Q140" s="2">
        <v>6</v>
      </c>
      <c r="R140" s="3">
        <v>0</v>
      </c>
      <c r="S140" s="4">
        <v>18.446400000000001</v>
      </c>
      <c r="T140" s="2" t="str">
        <f>TEXT(SalesData[[#This Row],[Order Date]],"mmm")</f>
        <v>Oct</v>
      </c>
      <c r="U140" s="2">
        <f>YEAR(SalesData[[#This Row],[Order Date]])</f>
        <v>2016</v>
      </c>
      <c r="V140" s="2" t="str">
        <f>IF(SalesData[[#This Row],[Profit]]&gt;0,"Profit","Loss")</f>
        <v>Profit</v>
      </c>
      <c r="W140" s="2" t="str">
        <f>IF(SalesData[[#This Row],[Profit]]&gt;100,"High Profit",
IF(SalesData[[#This Row],[Profit]]&gt;0,"Low Profit","Loss"))</f>
        <v>Low Profit</v>
      </c>
      <c r="X140" s="2" t="str">
        <f>IF(AND(SalesData[[#This Row],[Sales]]&gt;500,SalesData[[#This Row],[Profit]]&gt;0),"Good Order","Review")</f>
        <v>Review</v>
      </c>
      <c r="Y140" s="2"/>
      <c r="Z140" s="2"/>
      <c r="AA140" s="2"/>
      <c r="AB140" s="2"/>
    </row>
    <row r="141" spans="1:28" x14ac:dyDescent="0.3">
      <c r="A141" s="2">
        <v>140</v>
      </c>
      <c r="B141" s="2" t="s">
        <v>432</v>
      </c>
      <c r="C141" s="5">
        <v>42656</v>
      </c>
      <c r="D141" s="2" t="s">
        <v>44</v>
      </c>
      <c r="E141" s="2" t="s">
        <v>433</v>
      </c>
      <c r="F141" s="2" t="s">
        <v>434</v>
      </c>
      <c r="G141" s="2" t="s">
        <v>23</v>
      </c>
      <c r="H141" s="2" t="s">
        <v>24</v>
      </c>
      <c r="I141" s="2" t="s">
        <v>435</v>
      </c>
      <c r="J141" s="2" t="s">
        <v>38</v>
      </c>
      <c r="K141" s="2">
        <v>95661</v>
      </c>
      <c r="L141" s="2" t="s">
        <v>39</v>
      </c>
      <c r="M141" s="2" t="s">
        <v>206</v>
      </c>
      <c r="N141" s="2" t="s">
        <v>29</v>
      </c>
      <c r="O141" s="2" t="s">
        <v>57</v>
      </c>
      <c r="P141" s="4">
        <v>43.12</v>
      </c>
      <c r="Q141" s="2">
        <v>14</v>
      </c>
      <c r="R141" s="3">
        <v>0</v>
      </c>
      <c r="S141" s="4">
        <v>20.697600000000001</v>
      </c>
      <c r="T141" s="2" t="str">
        <f>TEXT(SalesData[[#This Row],[Order Date]],"mmm")</f>
        <v>Oct</v>
      </c>
      <c r="U141" s="2">
        <f>YEAR(SalesData[[#This Row],[Order Date]])</f>
        <v>2016</v>
      </c>
      <c r="V141" s="2" t="str">
        <f>IF(SalesData[[#This Row],[Profit]]&gt;0,"Profit","Loss")</f>
        <v>Profit</v>
      </c>
      <c r="W141" s="2" t="str">
        <f>IF(SalesData[[#This Row],[Profit]]&gt;100,"High Profit",
IF(SalesData[[#This Row],[Profit]]&gt;0,"Low Profit","Loss"))</f>
        <v>Low Profit</v>
      </c>
      <c r="X141" s="2" t="str">
        <f>IF(AND(SalesData[[#This Row],[Sales]]&gt;500,SalesData[[#This Row],[Profit]]&gt;0),"Good Order","Review")</f>
        <v>Review</v>
      </c>
      <c r="Y141" s="2"/>
      <c r="Z141" s="2"/>
      <c r="AA141" s="2"/>
      <c r="AB141" s="2"/>
    </row>
    <row r="142" spans="1:28" x14ac:dyDescent="0.3">
      <c r="A142" s="2">
        <v>141</v>
      </c>
      <c r="B142" s="2" t="s">
        <v>443</v>
      </c>
      <c r="C142" s="5">
        <v>42499</v>
      </c>
      <c r="D142" s="2" t="s">
        <v>20</v>
      </c>
      <c r="E142" s="2" t="s">
        <v>444</v>
      </c>
      <c r="F142" s="2" t="s">
        <v>445</v>
      </c>
      <c r="G142" s="2" t="s">
        <v>36</v>
      </c>
      <c r="H142" s="2" t="s">
        <v>24</v>
      </c>
      <c r="I142" s="2" t="s">
        <v>120</v>
      </c>
      <c r="J142" s="2" t="s">
        <v>121</v>
      </c>
      <c r="K142" s="2">
        <v>19140</v>
      </c>
      <c r="L142" s="2" t="s">
        <v>122</v>
      </c>
      <c r="M142" s="2" t="s">
        <v>139</v>
      </c>
      <c r="N142" s="2" t="s">
        <v>29</v>
      </c>
      <c r="O142" s="2" t="s">
        <v>57</v>
      </c>
      <c r="P142" s="4">
        <v>82.8</v>
      </c>
      <c r="Q142" s="2">
        <v>2</v>
      </c>
      <c r="R142" s="3">
        <v>0.2</v>
      </c>
      <c r="S142" s="4">
        <v>10.35</v>
      </c>
      <c r="T142" s="2" t="str">
        <f>TEXT(SalesData[[#This Row],[Order Date]],"mmm")</f>
        <v>May</v>
      </c>
      <c r="U142" s="2">
        <f>YEAR(SalesData[[#This Row],[Order Date]])</f>
        <v>2016</v>
      </c>
      <c r="V142" s="2" t="str">
        <f>IF(SalesData[[#This Row],[Profit]]&gt;0,"Profit","Loss")</f>
        <v>Profit</v>
      </c>
      <c r="W142" s="2" t="str">
        <f>IF(SalesData[[#This Row],[Profit]]&gt;100,"High Profit",
IF(SalesData[[#This Row],[Profit]]&gt;0,"Low Profit","Loss"))</f>
        <v>Low Profit</v>
      </c>
      <c r="X142" s="2" t="str">
        <f>IF(AND(SalesData[[#This Row],[Sales]]&gt;500,SalesData[[#This Row],[Profit]]&gt;0),"Good Order","Review")</f>
        <v>Review</v>
      </c>
      <c r="Y142" s="2"/>
      <c r="Z142" s="2"/>
      <c r="AA142" s="2"/>
      <c r="AB142" s="2"/>
    </row>
    <row r="143" spans="1:28" x14ac:dyDescent="0.3">
      <c r="A143" s="2">
        <v>142</v>
      </c>
      <c r="B143" s="2" t="s">
        <v>446</v>
      </c>
      <c r="C143" s="5">
        <v>42996</v>
      </c>
      <c r="D143" s="2" t="s">
        <v>44</v>
      </c>
      <c r="E143" s="2" t="s">
        <v>447</v>
      </c>
      <c r="F143" s="2" t="s">
        <v>448</v>
      </c>
      <c r="G143" s="2" t="s">
        <v>36</v>
      </c>
      <c r="H143" s="2" t="s">
        <v>24</v>
      </c>
      <c r="I143" s="2" t="s">
        <v>106</v>
      </c>
      <c r="J143" s="2" t="s">
        <v>38</v>
      </c>
      <c r="K143" s="2">
        <v>94122</v>
      </c>
      <c r="L143" s="2" t="s">
        <v>39</v>
      </c>
      <c r="M143" s="2" t="s">
        <v>449</v>
      </c>
      <c r="N143" s="2" t="s">
        <v>41</v>
      </c>
      <c r="O143" s="2" t="s">
        <v>59</v>
      </c>
      <c r="P143" s="4">
        <v>8.82</v>
      </c>
      <c r="Q143" s="2">
        <v>3</v>
      </c>
      <c r="R143" s="3">
        <v>0</v>
      </c>
      <c r="S143" s="4">
        <v>2.3814000000000002</v>
      </c>
      <c r="T143" s="2" t="str">
        <f>TEXT(SalesData[[#This Row],[Order Date]],"mmm")</f>
        <v>Sep</v>
      </c>
      <c r="U143" s="2">
        <f>YEAR(SalesData[[#This Row],[Order Date]])</f>
        <v>2017</v>
      </c>
      <c r="V143" s="2" t="str">
        <f>IF(SalesData[[#This Row],[Profit]]&gt;0,"Profit","Loss")</f>
        <v>Profit</v>
      </c>
      <c r="W143" s="2" t="str">
        <f>IF(SalesData[[#This Row],[Profit]]&gt;100,"High Profit",
IF(SalesData[[#This Row],[Profit]]&gt;0,"Low Profit","Loss"))</f>
        <v>Low Profit</v>
      </c>
      <c r="X143" s="2" t="str">
        <f>IF(AND(SalesData[[#This Row],[Sales]]&gt;500,SalesData[[#This Row],[Profit]]&gt;0),"Good Order","Review")</f>
        <v>Review</v>
      </c>
      <c r="Y143" s="2"/>
      <c r="Z143" s="2"/>
      <c r="AA143" s="2"/>
      <c r="AB143" s="2"/>
    </row>
    <row r="144" spans="1:28" x14ac:dyDescent="0.3">
      <c r="A144" s="2">
        <v>143</v>
      </c>
      <c r="B144" s="2" t="s">
        <v>446</v>
      </c>
      <c r="C144" s="5">
        <v>42996</v>
      </c>
      <c r="D144" s="2" t="s">
        <v>44</v>
      </c>
      <c r="E144" s="2" t="s">
        <v>447</v>
      </c>
      <c r="F144" s="2" t="s">
        <v>448</v>
      </c>
      <c r="G144" s="2" t="s">
        <v>36</v>
      </c>
      <c r="H144" s="2" t="s">
        <v>24</v>
      </c>
      <c r="I144" s="2" t="s">
        <v>106</v>
      </c>
      <c r="J144" s="2" t="s">
        <v>38</v>
      </c>
      <c r="K144" s="2">
        <v>94122</v>
      </c>
      <c r="L144" s="2" t="s">
        <v>39</v>
      </c>
      <c r="M144" s="2" t="s">
        <v>450</v>
      </c>
      <c r="N144" s="2" t="s">
        <v>41</v>
      </c>
      <c r="O144" s="2" t="s">
        <v>141</v>
      </c>
      <c r="P144" s="4">
        <v>10.86</v>
      </c>
      <c r="Q144" s="2">
        <v>3</v>
      </c>
      <c r="R144" s="3">
        <v>0</v>
      </c>
      <c r="S144" s="4">
        <v>5.1041999999999996</v>
      </c>
      <c r="T144" s="2" t="str">
        <f>TEXT(SalesData[[#This Row],[Order Date]],"mmm")</f>
        <v>Sep</v>
      </c>
      <c r="U144" s="2">
        <f>YEAR(SalesData[[#This Row],[Order Date]])</f>
        <v>2017</v>
      </c>
      <c r="V144" s="2" t="str">
        <f>IF(SalesData[[#This Row],[Profit]]&gt;0,"Profit","Loss")</f>
        <v>Profit</v>
      </c>
      <c r="W144" s="2" t="str">
        <f>IF(SalesData[[#This Row],[Profit]]&gt;100,"High Profit",
IF(SalesData[[#This Row],[Profit]]&gt;0,"Low Profit","Loss"))</f>
        <v>Low Profit</v>
      </c>
      <c r="X144" s="2" t="str">
        <f>IF(AND(SalesData[[#This Row],[Sales]]&gt;500,SalesData[[#This Row],[Profit]]&gt;0),"Good Order","Review")</f>
        <v>Review</v>
      </c>
      <c r="Y144" s="2"/>
      <c r="Z144" s="2"/>
      <c r="AA144" s="2"/>
      <c r="AB144" s="2"/>
    </row>
    <row r="145" spans="1:28" x14ac:dyDescent="0.3">
      <c r="A145" s="2">
        <v>144</v>
      </c>
      <c r="B145" s="2" t="s">
        <v>446</v>
      </c>
      <c r="C145" s="5">
        <v>42996</v>
      </c>
      <c r="D145" s="2" t="s">
        <v>44</v>
      </c>
      <c r="E145" s="2" t="s">
        <v>447</v>
      </c>
      <c r="F145" s="2" t="s">
        <v>448</v>
      </c>
      <c r="G145" s="2" t="s">
        <v>36</v>
      </c>
      <c r="H145" s="2" t="s">
        <v>24</v>
      </c>
      <c r="I145" s="2" t="s">
        <v>106</v>
      </c>
      <c r="J145" s="2" t="s">
        <v>38</v>
      </c>
      <c r="K145" s="2">
        <v>94122</v>
      </c>
      <c r="L145" s="2" t="s">
        <v>39</v>
      </c>
      <c r="M145" s="2" t="s">
        <v>451</v>
      </c>
      <c r="N145" s="2" t="s">
        <v>41</v>
      </c>
      <c r="O145" s="2" t="s">
        <v>75</v>
      </c>
      <c r="P145" s="4">
        <v>143.69999999999999</v>
      </c>
      <c r="Q145" s="2">
        <v>3</v>
      </c>
      <c r="R145" s="3">
        <v>0</v>
      </c>
      <c r="S145" s="4">
        <v>68.975999999999999</v>
      </c>
      <c r="T145" s="2" t="str">
        <f>TEXT(SalesData[[#This Row],[Order Date]],"mmm")</f>
        <v>Sep</v>
      </c>
      <c r="U145" s="2">
        <f>YEAR(SalesData[[#This Row],[Order Date]])</f>
        <v>2017</v>
      </c>
      <c r="V145" s="2" t="str">
        <f>IF(SalesData[[#This Row],[Profit]]&gt;0,"Profit","Loss")</f>
        <v>Profit</v>
      </c>
      <c r="W145" s="2" t="str">
        <f>IF(SalesData[[#This Row],[Profit]]&gt;100,"High Profit",
IF(SalesData[[#This Row],[Profit]]&gt;0,"Low Profit","Loss"))</f>
        <v>Low Profit</v>
      </c>
      <c r="X145" s="2" t="str">
        <f>IF(AND(SalesData[[#This Row],[Sales]]&gt;500,SalesData[[#This Row],[Profit]]&gt;0),"Good Order","Review")</f>
        <v>Review</v>
      </c>
      <c r="Y145" s="2"/>
      <c r="Z145" s="2"/>
      <c r="AA145" s="2"/>
      <c r="AB145" s="2"/>
    </row>
    <row r="146" spans="1:28" x14ac:dyDescent="0.3">
      <c r="A146" s="2">
        <v>145</v>
      </c>
      <c r="B146" s="2" t="s">
        <v>452</v>
      </c>
      <c r="C146" s="5">
        <v>43091</v>
      </c>
      <c r="D146" s="2" t="s">
        <v>44</v>
      </c>
      <c r="E146" s="2" t="s">
        <v>453</v>
      </c>
      <c r="F146" s="2" t="s">
        <v>454</v>
      </c>
      <c r="G146" s="2" t="s">
        <v>23</v>
      </c>
      <c r="H146" s="2" t="s">
        <v>24</v>
      </c>
      <c r="I146" s="2" t="s">
        <v>455</v>
      </c>
      <c r="J146" s="2" t="s">
        <v>456</v>
      </c>
      <c r="K146" s="2">
        <v>64055</v>
      </c>
      <c r="L146" s="2" t="s">
        <v>88</v>
      </c>
      <c r="M146" s="2" t="s">
        <v>457</v>
      </c>
      <c r="N146" s="2" t="s">
        <v>41</v>
      </c>
      <c r="O146" s="2" t="s">
        <v>66</v>
      </c>
      <c r="P146" s="4">
        <v>839.43</v>
      </c>
      <c r="Q146" s="2">
        <v>3</v>
      </c>
      <c r="R146" s="3">
        <v>0</v>
      </c>
      <c r="S146" s="4">
        <v>218.2518</v>
      </c>
      <c r="T146" s="2" t="str">
        <f>TEXT(SalesData[[#This Row],[Order Date]],"mmm")</f>
        <v>Dec</v>
      </c>
      <c r="U146" s="2">
        <f>YEAR(SalesData[[#This Row],[Order Date]])</f>
        <v>2017</v>
      </c>
      <c r="V146" s="2" t="str">
        <f>IF(SalesData[[#This Row],[Profit]]&gt;0,"Profit","Loss")</f>
        <v>Profit</v>
      </c>
      <c r="W146" s="2" t="str">
        <f>IF(SalesData[[#This Row],[Profit]]&gt;100,"High Profit",
IF(SalesData[[#This Row],[Profit]]&gt;0,"Low Profit","Loss"))</f>
        <v>High Profit</v>
      </c>
      <c r="X146" s="2" t="str">
        <f>IF(AND(SalesData[[#This Row],[Sales]]&gt;500,SalesData[[#This Row],[Profit]]&gt;0),"Good Order","Review")</f>
        <v>Good Order</v>
      </c>
      <c r="Y146" s="2"/>
      <c r="Z146" s="2"/>
      <c r="AA146" s="2"/>
      <c r="AB146" s="2"/>
    </row>
    <row r="147" spans="1:28" x14ac:dyDescent="0.3">
      <c r="A147" s="2">
        <v>146</v>
      </c>
      <c r="B147" s="2" t="s">
        <v>458</v>
      </c>
      <c r="C147" s="5">
        <v>42194</v>
      </c>
      <c r="D147" s="2" t="s">
        <v>44</v>
      </c>
      <c r="E147" s="2" t="s">
        <v>459</v>
      </c>
      <c r="F147" s="2" t="s">
        <v>460</v>
      </c>
      <c r="G147" s="2" t="s">
        <v>23</v>
      </c>
      <c r="H147" s="2" t="s">
        <v>24</v>
      </c>
      <c r="I147" s="2" t="s">
        <v>461</v>
      </c>
      <c r="J147" s="2" t="s">
        <v>38</v>
      </c>
      <c r="K147" s="2">
        <v>91104</v>
      </c>
      <c r="L147" s="2" t="s">
        <v>39</v>
      </c>
      <c r="M147" s="2" t="s">
        <v>294</v>
      </c>
      <c r="N147" s="2" t="s">
        <v>41</v>
      </c>
      <c r="O147" s="2" t="s">
        <v>52</v>
      </c>
      <c r="P147" s="4">
        <v>671.93</v>
      </c>
      <c r="Q147" s="2">
        <v>7</v>
      </c>
      <c r="R147" s="3">
        <v>0</v>
      </c>
      <c r="S147" s="4">
        <v>20.157900000000001</v>
      </c>
      <c r="T147" s="2" t="str">
        <f>TEXT(SalesData[[#This Row],[Order Date]],"mmm")</f>
        <v>Jul</v>
      </c>
      <c r="U147" s="2">
        <f>YEAR(SalesData[[#This Row],[Order Date]])</f>
        <v>2015</v>
      </c>
      <c r="V147" s="2" t="str">
        <f>IF(SalesData[[#This Row],[Profit]]&gt;0,"Profit","Loss")</f>
        <v>Profit</v>
      </c>
      <c r="W147" s="2" t="str">
        <f>IF(SalesData[[#This Row],[Profit]]&gt;100,"High Profit",
IF(SalesData[[#This Row],[Profit]]&gt;0,"Low Profit","Loss"))</f>
        <v>Low Profit</v>
      </c>
      <c r="X147" s="2" t="str">
        <f>IF(AND(SalesData[[#This Row],[Sales]]&gt;500,SalesData[[#This Row],[Profit]]&gt;0),"Good Order","Review")</f>
        <v>Good Order</v>
      </c>
      <c r="Y147" s="2"/>
      <c r="Z147" s="2"/>
      <c r="AA147" s="2"/>
      <c r="AB147" s="2"/>
    </row>
    <row r="148" spans="1:28" x14ac:dyDescent="0.3">
      <c r="A148" s="2">
        <v>147</v>
      </c>
      <c r="B148" s="2" t="s">
        <v>462</v>
      </c>
      <c r="C148" s="5">
        <v>41934</v>
      </c>
      <c r="D148" s="2" t="s">
        <v>44</v>
      </c>
      <c r="E148" s="2" t="s">
        <v>463</v>
      </c>
      <c r="F148" s="2" t="s">
        <v>464</v>
      </c>
      <c r="G148" s="2" t="s">
        <v>85</v>
      </c>
      <c r="H148" s="2" t="s">
        <v>24</v>
      </c>
      <c r="I148" s="2" t="s">
        <v>465</v>
      </c>
      <c r="J148" s="2" t="s">
        <v>385</v>
      </c>
      <c r="K148" s="2">
        <v>43055</v>
      </c>
      <c r="L148" s="2" t="s">
        <v>122</v>
      </c>
      <c r="M148" s="2" t="s">
        <v>466</v>
      </c>
      <c r="N148" s="2" t="s">
        <v>29</v>
      </c>
      <c r="O148" s="2" t="s">
        <v>57</v>
      </c>
      <c r="P148" s="4">
        <v>93.888000000000005</v>
      </c>
      <c r="Q148" s="2">
        <v>4</v>
      </c>
      <c r="R148" s="3">
        <v>0.2</v>
      </c>
      <c r="S148" s="4">
        <v>12.909599999999999</v>
      </c>
      <c r="T148" s="2" t="str">
        <f>TEXT(SalesData[[#This Row],[Order Date]],"mmm")</f>
        <v>Oct</v>
      </c>
      <c r="U148" s="2">
        <f>YEAR(SalesData[[#This Row],[Order Date]])</f>
        <v>2014</v>
      </c>
      <c r="V148" s="2" t="str">
        <f>IF(SalesData[[#This Row],[Profit]]&gt;0,"Profit","Loss")</f>
        <v>Profit</v>
      </c>
      <c r="W148" s="2" t="str">
        <f>IF(SalesData[[#This Row],[Profit]]&gt;100,"High Profit",
IF(SalesData[[#This Row],[Profit]]&gt;0,"Low Profit","Loss"))</f>
        <v>Low Profit</v>
      </c>
      <c r="X148" s="2" t="str">
        <f>IF(AND(SalesData[[#This Row],[Sales]]&gt;500,SalesData[[#This Row],[Profit]]&gt;0),"Good Order","Review")</f>
        <v>Review</v>
      </c>
      <c r="Y148" s="2"/>
      <c r="Z148" s="2"/>
      <c r="AA148" s="2"/>
      <c r="AB148" s="2"/>
    </row>
    <row r="149" spans="1:28" x14ac:dyDescent="0.3">
      <c r="A149" s="2">
        <v>148</v>
      </c>
      <c r="B149" s="2" t="s">
        <v>467</v>
      </c>
      <c r="C149" s="5">
        <v>42502</v>
      </c>
      <c r="D149" s="2" t="s">
        <v>44</v>
      </c>
      <c r="E149" s="2" t="s">
        <v>468</v>
      </c>
      <c r="F149" s="2" t="s">
        <v>469</v>
      </c>
      <c r="G149" s="2" t="s">
        <v>36</v>
      </c>
      <c r="H149" s="2" t="s">
        <v>24</v>
      </c>
      <c r="I149" s="2" t="s">
        <v>470</v>
      </c>
      <c r="J149" s="2" t="s">
        <v>95</v>
      </c>
      <c r="K149" s="2">
        <v>53132</v>
      </c>
      <c r="L149" s="2" t="s">
        <v>88</v>
      </c>
      <c r="M149" s="2" t="s">
        <v>471</v>
      </c>
      <c r="N149" s="2" t="s">
        <v>61</v>
      </c>
      <c r="O149" s="2" t="s">
        <v>62</v>
      </c>
      <c r="P149" s="4">
        <v>384.45</v>
      </c>
      <c r="Q149" s="2">
        <v>11</v>
      </c>
      <c r="R149" s="3">
        <v>0</v>
      </c>
      <c r="S149" s="4">
        <v>103.8015</v>
      </c>
      <c r="T149" s="2" t="str">
        <f>TEXT(SalesData[[#This Row],[Order Date]],"mmm")</f>
        <v>May</v>
      </c>
      <c r="U149" s="2">
        <f>YEAR(SalesData[[#This Row],[Order Date]])</f>
        <v>2016</v>
      </c>
      <c r="V149" s="2" t="str">
        <f>IF(SalesData[[#This Row],[Profit]]&gt;0,"Profit","Loss")</f>
        <v>Profit</v>
      </c>
      <c r="W149" s="2" t="str">
        <f>IF(SalesData[[#This Row],[Profit]]&gt;100,"High Profit",
IF(SalesData[[#This Row],[Profit]]&gt;0,"Low Profit","Loss"))</f>
        <v>High Profit</v>
      </c>
      <c r="X149" s="2" t="str">
        <f>IF(AND(SalesData[[#This Row],[Sales]]&gt;500,SalesData[[#This Row],[Profit]]&gt;0),"Good Order","Review")</f>
        <v>Review</v>
      </c>
      <c r="Y149" s="2"/>
      <c r="Z149" s="2"/>
      <c r="AA149" s="2"/>
      <c r="AB149" s="2"/>
    </row>
    <row r="150" spans="1:28" x14ac:dyDescent="0.3">
      <c r="A150" s="2">
        <v>149</v>
      </c>
      <c r="B150" s="2" t="s">
        <v>467</v>
      </c>
      <c r="C150" s="5">
        <v>42502</v>
      </c>
      <c r="D150" s="2" t="s">
        <v>44</v>
      </c>
      <c r="E150" s="2" t="s">
        <v>468</v>
      </c>
      <c r="F150" s="2" t="s">
        <v>469</v>
      </c>
      <c r="G150" s="2" t="s">
        <v>36</v>
      </c>
      <c r="H150" s="2" t="s">
        <v>24</v>
      </c>
      <c r="I150" s="2" t="s">
        <v>470</v>
      </c>
      <c r="J150" s="2" t="s">
        <v>95</v>
      </c>
      <c r="K150" s="2">
        <v>53132</v>
      </c>
      <c r="L150" s="2" t="s">
        <v>88</v>
      </c>
      <c r="M150" s="2" t="s">
        <v>472</v>
      </c>
      <c r="N150" s="2" t="s">
        <v>61</v>
      </c>
      <c r="O150" s="2" t="s">
        <v>62</v>
      </c>
      <c r="P150" s="4">
        <v>149.97</v>
      </c>
      <c r="Q150" s="2">
        <v>3</v>
      </c>
      <c r="R150" s="3">
        <v>0</v>
      </c>
      <c r="S150" s="4">
        <v>5.9988000000000001</v>
      </c>
      <c r="T150" s="2" t="str">
        <f>TEXT(SalesData[[#This Row],[Order Date]],"mmm")</f>
        <v>May</v>
      </c>
      <c r="U150" s="2">
        <f>YEAR(SalesData[[#This Row],[Order Date]])</f>
        <v>2016</v>
      </c>
      <c r="V150" s="2" t="str">
        <f>IF(SalesData[[#This Row],[Profit]]&gt;0,"Profit","Loss")</f>
        <v>Profit</v>
      </c>
      <c r="W150" s="2" t="str">
        <f>IF(SalesData[[#This Row],[Profit]]&gt;100,"High Profit",
IF(SalesData[[#This Row],[Profit]]&gt;0,"Low Profit","Loss"))</f>
        <v>Low Profit</v>
      </c>
      <c r="X150" s="2" t="str">
        <f>IF(AND(SalesData[[#This Row],[Sales]]&gt;500,SalesData[[#This Row],[Profit]]&gt;0),"Good Order","Review")</f>
        <v>Review</v>
      </c>
      <c r="Y150" s="2"/>
      <c r="Z150" s="2"/>
      <c r="AA150" s="2"/>
      <c r="AB150" s="2"/>
    </row>
    <row r="151" spans="1:28" x14ac:dyDescent="0.3">
      <c r="A151" s="2">
        <v>150</v>
      </c>
      <c r="B151" s="2" t="s">
        <v>467</v>
      </c>
      <c r="C151" s="5">
        <v>42502</v>
      </c>
      <c r="D151" s="2" t="s">
        <v>44</v>
      </c>
      <c r="E151" s="2" t="s">
        <v>468</v>
      </c>
      <c r="F151" s="2" t="s">
        <v>469</v>
      </c>
      <c r="G151" s="2" t="s">
        <v>36</v>
      </c>
      <c r="H151" s="2" t="s">
        <v>24</v>
      </c>
      <c r="I151" s="2" t="s">
        <v>470</v>
      </c>
      <c r="J151" s="2" t="s">
        <v>95</v>
      </c>
      <c r="K151" s="2">
        <v>53132</v>
      </c>
      <c r="L151" s="2" t="s">
        <v>88</v>
      </c>
      <c r="M151" s="2" t="s">
        <v>31</v>
      </c>
      <c r="N151" s="2" t="s">
        <v>29</v>
      </c>
      <c r="O151" s="2" t="s">
        <v>32</v>
      </c>
      <c r="P151" s="4">
        <v>1951.84</v>
      </c>
      <c r="Q151" s="2">
        <v>8</v>
      </c>
      <c r="R151" s="3">
        <v>0</v>
      </c>
      <c r="S151" s="4">
        <v>585.55200000000002</v>
      </c>
      <c r="T151" s="2" t="str">
        <f>TEXT(SalesData[[#This Row],[Order Date]],"mmm")</f>
        <v>May</v>
      </c>
      <c r="U151" s="2">
        <f>YEAR(SalesData[[#This Row],[Order Date]])</f>
        <v>2016</v>
      </c>
      <c r="V151" s="2" t="str">
        <f>IF(SalesData[[#This Row],[Profit]]&gt;0,"Profit","Loss")</f>
        <v>Profit</v>
      </c>
      <c r="W151" s="2" t="str">
        <f>IF(SalesData[[#This Row],[Profit]]&gt;100,"High Profit",
IF(SalesData[[#This Row],[Profit]]&gt;0,"Low Profit","Loss"))</f>
        <v>High Profit</v>
      </c>
      <c r="X151" s="2" t="str">
        <f>IF(AND(SalesData[[#This Row],[Sales]]&gt;500,SalesData[[#This Row],[Profit]]&gt;0),"Good Order","Review")</f>
        <v>Good Order</v>
      </c>
      <c r="Y151" s="2"/>
      <c r="Z151" s="2"/>
      <c r="AA151" s="2"/>
      <c r="AB151" s="2"/>
    </row>
    <row r="152" spans="1:28" x14ac:dyDescent="0.3">
      <c r="A152" s="2">
        <v>151</v>
      </c>
      <c r="B152" s="2" t="s">
        <v>467</v>
      </c>
      <c r="C152" s="5">
        <v>42502</v>
      </c>
      <c r="D152" s="2" t="s">
        <v>44</v>
      </c>
      <c r="E152" s="2" t="s">
        <v>468</v>
      </c>
      <c r="F152" s="2" t="s">
        <v>469</v>
      </c>
      <c r="G152" s="2" t="s">
        <v>36</v>
      </c>
      <c r="H152" s="2" t="s">
        <v>24</v>
      </c>
      <c r="I152" s="2" t="s">
        <v>470</v>
      </c>
      <c r="J152" s="2" t="s">
        <v>95</v>
      </c>
      <c r="K152" s="2">
        <v>53132</v>
      </c>
      <c r="L152" s="2" t="s">
        <v>88</v>
      </c>
      <c r="M152" s="2" t="s">
        <v>473</v>
      </c>
      <c r="N152" s="2" t="s">
        <v>41</v>
      </c>
      <c r="O152" s="2" t="s">
        <v>64</v>
      </c>
      <c r="P152" s="4">
        <v>171.55</v>
      </c>
      <c r="Q152" s="2">
        <v>5</v>
      </c>
      <c r="R152" s="3">
        <v>0</v>
      </c>
      <c r="S152" s="4">
        <v>80.628500000000003</v>
      </c>
      <c r="T152" s="2" t="str">
        <f>TEXT(SalesData[[#This Row],[Order Date]],"mmm")</f>
        <v>May</v>
      </c>
      <c r="U152" s="2">
        <f>YEAR(SalesData[[#This Row],[Order Date]])</f>
        <v>2016</v>
      </c>
      <c r="V152" s="2" t="str">
        <f>IF(SalesData[[#This Row],[Profit]]&gt;0,"Profit","Loss")</f>
        <v>Profit</v>
      </c>
      <c r="W152" s="2" t="str">
        <f>IF(SalesData[[#This Row],[Profit]]&gt;100,"High Profit",
IF(SalesData[[#This Row],[Profit]]&gt;0,"Low Profit","Loss"))</f>
        <v>Low Profit</v>
      </c>
      <c r="X152" s="2" t="str">
        <f>IF(AND(SalesData[[#This Row],[Sales]]&gt;500,SalesData[[#This Row],[Profit]]&gt;0),"Good Order","Review")</f>
        <v>Review</v>
      </c>
      <c r="Y152" s="2"/>
      <c r="Z152" s="2"/>
      <c r="AA152" s="2"/>
      <c r="AB152" s="2"/>
    </row>
    <row r="153" spans="1:28" x14ac:dyDescent="0.3">
      <c r="A153" s="2">
        <v>152</v>
      </c>
      <c r="B153" s="2" t="s">
        <v>474</v>
      </c>
      <c r="C153" s="5">
        <v>42442</v>
      </c>
      <c r="D153" s="2" t="s">
        <v>151</v>
      </c>
      <c r="E153" s="2" t="s">
        <v>475</v>
      </c>
      <c r="F153" s="2" t="s">
        <v>476</v>
      </c>
      <c r="G153" s="2" t="s">
        <v>85</v>
      </c>
      <c r="H153" s="2" t="s">
        <v>24</v>
      </c>
      <c r="I153" s="2" t="s">
        <v>477</v>
      </c>
      <c r="J153" s="2" t="s">
        <v>242</v>
      </c>
      <c r="K153" s="2">
        <v>85254</v>
      </c>
      <c r="L153" s="2" t="s">
        <v>39</v>
      </c>
      <c r="M153" s="2" t="s">
        <v>478</v>
      </c>
      <c r="N153" s="2" t="s">
        <v>41</v>
      </c>
      <c r="O153" s="2" t="s">
        <v>66</v>
      </c>
      <c r="P153" s="4">
        <v>157.91999999999999</v>
      </c>
      <c r="Q153" s="2">
        <v>5</v>
      </c>
      <c r="R153" s="3">
        <v>0.2</v>
      </c>
      <c r="S153" s="4">
        <v>17.765999999999998</v>
      </c>
      <c r="T153" s="2" t="str">
        <f>TEXT(SalesData[[#This Row],[Order Date]],"mmm")</f>
        <v>Mar</v>
      </c>
      <c r="U153" s="2">
        <f>YEAR(SalesData[[#This Row],[Order Date]])</f>
        <v>2016</v>
      </c>
      <c r="V153" s="2" t="str">
        <f>IF(SalesData[[#This Row],[Profit]]&gt;0,"Profit","Loss")</f>
        <v>Profit</v>
      </c>
      <c r="W153" s="2" t="str">
        <f>IF(SalesData[[#This Row],[Profit]]&gt;100,"High Profit",
IF(SalesData[[#This Row],[Profit]]&gt;0,"Low Profit","Loss"))</f>
        <v>Low Profit</v>
      </c>
      <c r="X153" s="2" t="str">
        <f>IF(AND(SalesData[[#This Row],[Sales]]&gt;500,SalesData[[#This Row],[Profit]]&gt;0),"Good Order","Review")</f>
        <v>Review</v>
      </c>
      <c r="Y153" s="2"/>
      <c r="Z153" s="2"/>
      <c r="AA153" s="2"/>
      <c r="AB153" s="2"/>
    </row>
    <row r="154" spans="1:28" x14ac:dyDescent="0.3">
      <c r="A154" s="2">
        <v>153</v>
      </c>
      <c r="B154" s="2" t="s">
        <v>474</v>
      </c>
      <c r="C154" s="5">
        <v>42442</v>
      </c>
      <c r="D154" s="2" t="s">
        <v>151</v>
      </c>
      <c r="E154" s="2" t="s">
        <v>475</v>
      </c>
      <c r="F154" s="2" t="s">
        <v>476</v>
      </c>
      <c r="G154" s="2" t="s">
        <v>85</v>
      </c>
      <c r="H154" s="2" t="s">
        <v>24</v>
      </c>
      <c r="I154" s="2" t="s">
        <v>477</v>
      </c>
      <c r="J154" s="2" t="s">
        <v>242</v>
      </c>
      <c r="K154" s="2">
        <v>85254</v>
      </c>
      <c r="L154" s="2" t="s">
        <v>39</v>
      </c>
      <c r="M154" s="2" t="s">
        <v>479</v>
      </c>
      <c r="N154" s="2" t="s">
        <v>61</v>
      </c>
      <c r="O154" s="2" t="s">
        <v>62</v>
      </c>
      <c r="P154" s="4">
        <v>203.184</v>
      </c>
      <c r="Q154" s="2">
        <v>2</v>
      </c>
      <c r="R154" s="3">
        <v>0.2</v>
      </c>
      <c r="S154" s="4">
        <v>15.238799999999999</v>
      </c>
      <c r="T154" s="2" t="str">
        <f>TEXT(SalesData[[#This Row],[Order Date]],"mmm")</f>
        <v>Mar</v>
      </c>
      <c r="U154" s="2">
        <f>YEAR(SalesData[[#This Row],[Order Date]])</f>
        <v>2016</v>
      </c>
      <c r="V154" s="2" t="str">
        <f>IF(SalesData[[#This Row],[Profit]]&gt;0,"Profit","Loss")</f>
        <v>Profit</v>
      </c>
      <c r="W154" s="2" t="str">
        <f>IF(SalesData[[#This Row],[Profit]]&gt;100,"High Profit",
IF(SalesData[[#This Row],[Profit]]&gt;0,"Low Profit","Loss"))</f>
        <v>Low Profit</v>
      </c>
      <c r="X154" s="2" t="str">
        <f>IF(AND(SalesData[[#This Row],[Sales]]&gt;500,SalesData[[#This Row],[Profit]]&gt;0),"Good Order","Review")</f>
        <v>Review</v>
      </c>
      <c r="Y154" s="2"/>
      <c r="Z154" s="2"/>
      <c r="AA154" s="2"/>
      <c r="AB154" s="2"/>
    </row>
    <row r="155" spans="1:28" x14ac:dyDescent="0.3">
      <c r="A155" s="2">
        <v>154</v>
      </c>
      <c r="B155" s="2" t="s">
        <v>480</v>
      </c>
      <c r="C155" s="5">
        <v>42155</v>
      </c>
      <c r="D155" s="2" t="s">
        <v>151</v>
      </c>
      <c r="E155" s="2" t="s">
        <v>481</v>
      </c>
      <c r="F155" s="2" t="s">
        <v>482</v>
      </c>
      <c r="G155" s="2" t="s">
        <v>36</v>
      </c>
      <c r="H155" s="2" t="s">
        <v>24</v>
      </c>
      <c r="I155" s="2" t="s">
        <v>483</v>
      </c>
      <c r="J155" s="2" t="s">
        <v>38</v>
      </c>
      <c r="K155" s="2">
        <v>95123</v>
      </c>
      <c r="L155" s="2" t="s">
        <v>39</v>
      </c>
      <c r="M155" s="2" t="s">
        <v>484</v>
      </c>
      <c r="N155" s="2" t="s">
        <v>41</v>
      </c>
      <c r="O155" s="2" t="s">
        <v>75</v>
      </c>
      <c r="P155" s="4">
        <v>58.38</v>
      </c>
      <c r="Q155" s="2">
        <v>7</v>
      </c>
      <c r="R155" s="3">
        <v>0</v>
      </c>
      <c r="S155" s="4">
        <v>26.271000000000001</v>
      </c>
      <c r="T155" s="2" t="str">
        <f>TEXT(SalesData[[#This Row],[Order Date]],"mmm")</f>
        <v>May</v>
      </c>
      <c r="U155" s="2">
        <f>YEAR(SalesData[[#This Row],[Order Date]])</f>
        <v>2015</v>
      </c>
      <c r="V155" s="2" t="str">
        <f>IF(SalesData[[#This Row],[Profit]]&gt;0,"Profit","Loss")</f>
        <v>Profit</v>
      </c>
      <c r="W155" s="2" t="str">
        <f>IF(SalesData[[#This Row],[Profit]]&gt;100,"High Profit",
IF(SalesData[[#This Row],[Profit]]&gt;0,"Low Profit","Loss"))</f>
        <v>Low Profit</v>
      </c>
      <c r="X155" s="2" t="str">
        <f>IF(AND(SalesData[[#This Row],[Sales]]&gt;500,SalesData[[#This Row],[Profit]]&gt;0),"Good Order","Review")</f>
        <v>Review</v>
      </c>
      <c r="Y155" s="2"/>
      <c r="Z155" s="2"/>
      <c r="AA155" s="2"/>
      <c r="AB155" s="2"/>
    </row>
    <row r="156" spans="1:28" x14ac:dyDescent="0.3">
      <c r="A156" s="2">
        <v>155</v>
      </c>
      <c r="B156" s="2" t="s">
        <v>480</v>
      </c>
      <c r="C156" s="5">
        <v>42155</v>
      </c>
      <c r="D156" s="2" t="s">
        <v>151</v>
      </c>
      <c r="E156" s="2" t="s">
        <v>481</v>
      </c>
      <c r="F156" s="2" t="s">
        <v>482</v>
      </c>
      <c r="G156" s="2" t="s">
        <v>36</v>
      </c>
      <c r="H156" s="2" t="s">
        <v>24</v>
      </c>
      <c r="I156" s="2" t="s">
        <v>483</v>
      </c>
      <c r="J156" s="2" t="s">
        <v>38</v>
      </c>
      <c r="K156" s="2">
        <v>95123</v>
      </c>
      <c r="L156" s="2" t="s">
        <v>39</v>
      </c>
      <c r="M156" s="2" t="s">
        <v>485</v>
      </c>
      <c r="N156" s="2" t="s">
        <v>41</v>
      </c>
      <c r="O156" s="2" t="s">
        <v>75</v>
      </c>
      <c r="P156" s="4">
        <v>105.52</v>
      </c>
      <c r="Q156" s="2">
        <v>4</v>
      </c>
      <c r="R156" s="3">
        <v>0</v>
      </c>
      <c r="S156" s="4">
        <v>48.539200000000001</v>
      </c>
      <c r="T156" s="2" t="str">
        <f>TEXT(SalesData[[#This Row],[Order Date]],"mmm")</f>
        <v>May</v>
      </c>
      <c r="U156" s="2">
        <f>YEAR(SalesData[[#This Row],[Order Date]])</f>
        <v>2015</v>
      </c>
      <c r="V156" s="2" t="str">
        <f>IF(SalesData[[#This Row],[Profit]]&gt;0,"Profit","Loss")</f>
        <v>Profit</v>
      </c>
      <c r="W156" s="2" t="str">
        <f>IF(SalesData[[#This Row],[Profit]]&gt;100,"High Profit",
IF(SalesData[[#This Row],[Profit]]&gt;0,"Low Profit","Loss"))</f>
        <v>Low Profit</v>
      </c>
      <c r="X156" s="2" t="str">
        <f>IF(AND(SalesData[[#This Row],[Sales]]&gt;500,SalesData[[#This Row],[Profit]]&gt;0),"Good Order","Review")</f>
        <v>Review</v>
      </c>
      <c r="Y156" s="2"/>
      <c r="Z156" s="2"/>
      <c r="AA156" s="2"/>
      <c r="AB156" s="2"/>
    </row>
    <row r="157" spans="1:28" x14ac:dyDescent="0.3">
      <c r="A157" s="2">
        <v>156</v>
      </c>
      <c r="B157" s="2" t="s">
        <v>480</v>
      </c>
      <c r="C157" s="5">
        <v>42155</v>
      </c>
      <c r="D157" s="2" t="s">
        <v>151</v>
      </c>
      <c r="E157" s="2" t="s">
        <v>481</v>
      </c>
      <c r="F157" s="2" t="s">
        <v>482</v>
      </c>
      <c r="G157" s="2" t="s">
        <v>36</v>
      </c>
      <c r="H157" s="2" t="s">
        <v>24</v>
      </c>
      <c r="I157" s="2" t="s">
        <v>483</v>
      </c>
      <c r="J157" s="2" t="s">
        <v>38</v>
      </c>
      <c r="K157" s="2">
        <v>95123</v>
      </c>
      <c r="L157" s="2" t="s">
        <v>39</v>
      </c>
      <c r="M157" s="2" t="s">
        <v>486</v>
      </c>
      <c r="N157" s="2" t="s">
        <v>41</v>
      </c>
      <c r="O157" s="2" t="s">
        <v>52</v>
      </c>
      <c r="P157" s="4">
        <v>80.88</v>
      </c>
      <c r="Q157" s="2">
        <v>6</v>
      </c>
      <c r="R157" s="3">
        <v>0</v>
      </c>
      <c r="S157" s="4">
        <v>21.0288</v>
      </c>
      <c r="T157" s="2" t="str">
        <f>TEXT(SalesData[[#This Row],[Order Date]],"mmm")</f>
        <v>May</v>
      </c>
      <c r="U157" s="2">
        <f>YEAR(SalesData[[#This Row],[Order Date]])</f>
        <v>2015</v>
      </c>
      <c r="V157" s="2" t="str">
        <f>IF(SalesData[[#This Row],[Profit]]&gt;0,"Profit","Loss")</f>
        <v>Profit</v>
      </c>
      <c r="W157" s="2" t="str">
        <f>IF(SalesData[[#This Row],[Profit]]&gt;100,"High Profit",
IF(SalesData[[#This Row],[Profit]]&gt;0,"Low Profit","Loss"))</f>
        <v>Low Profit</v>
      </c>
      <c r="X157" s="2" t="str">
        <f>IF(AND(SalesData[[#This Row],[Sales]]&gt;500,SalesData[[#This Row],[Profit]]&gt;0),"Good Order","Review")</f>
        <v>Review</v>
      </c>
      <c r="Y157" s="2"/>
      <c r="Z157" s="2"/>
      <c r="AA157" s="2"/>
      <c r="AB157" s="2"/>
    </row>
    <row r="158" spans="1:28" x14ac:dyDescent="0.3">
      <c r="A158" s="2">
        <v>157</v>
      </c>
      <c r="B158" s="2" t="s">
        <v>487</v>
      </c>
      <c r="C158" s="5">
        <v>42152</v>
      </c>
      <c r="D158" s="2" t="s">
        <v>44</v>
      </c>
      <c r="E158" s="2" t="s">
        <v>488</v>
      </c>
      <c r="F158" s="2" t="s">
        <v>489</v>
      </c>
      <c r="G158" s="2" t="s">
        <v>85</v>
      </c>
      <c r="H158" s="2" t="s">
        <v>24</v>
      </c>
      <c r="I158" s="2" t="s">
        <v>79</v>
      </c>
      <c r="J158" s="2" t="s">
        <v>80</v>
      </c>
      <c r="K158" s="2">
        <v>98105</v>
      </c>
      <c r="L158" s="2" t="s">
        <v>39</v>
      </c>
      <c r="M158" s="2" t="s">
        <v>490</v>
      </c>
      <c r="N158" s="2" t="s">
        <v>41</v>
      </c>
      <c r="O158" s="2" t="s">
        <v>59</v>
      </c>
      <c r="P158" s="4">
        <v>6.63</v>
      </c>
      <c r="Q158" s="2">
        <v>3</v>
      </c>
      <c r="R158" s="3">
        <v>0</v>
      </c>
      <c r="S158" s="4">
        <v>1.7901</v>
      </c>
      <c r="T158" s="2" t="str">
        <f>TEXT(SalesData[[#This Row],[Order Date]],"mmm")</f>
        <v>May</v>
      </c>
      <c r="U158" s="2">
        <f>YEAR(SalesData[[#This Row],[Order Date]])</f>
        <v>2015</v>
      </c>
      <c r="V158" s="2" t="str">
        <f>IF(SalesData[[#This Row],[Profit]]&gt;0,"Profit","Loss")</f>
        <v>Profit</v>
      </c>
      <c r="W158" s="2" t="str">
        <f>IF(SalesData[[#This Row],[Profit]]&gt;100,"High Profit",
IF(SalesData[[#This Row],[Profit]]&gt;0,"Low Profit","Loss"))</f>
        <v>Low Profit</v>
      </c>
      <c r="X158" s="2" t="str">
        <f>IF(AND(SalesData[[#This Row],[Sales]]&gt;500,SalesData[[#This Row],[Profit]]&gt;0),"Good Order","Review")</f>
        <v>Review</v>
      </c>
      <c r="Y158" s="2"/>
      <c r="Z158" s="2"/>
      <c r="AA158" s="2"/>
      <c r="AB158" s="2"/>
    </row>
    <row r="159" spans="1:28" x14ac:dyDescent="0.3">
      <c r="A159" s="2">
        <v>158</v>
      </c>
      <c r="B159" s="2" t="s">
        <v>491</v>
      </c>
      <c r="C159" s="5">
        <v>41642</v>
      </c>
      <c r="D159" s="2" t="s">
        <v>20</v>
      </c>
      <c r="E159" s="2" t="s">
        <v>492</v>
      </c>
      <c r="F159" s="2" t="s">
        <v>493</v>
      </c>
      <c r="G159" s="2" t="s">
        <v>23</v>
      </c>
      <c r="H159" s="2" t="s">
        <v>24</v>
      </c>
      <c r="I159" s="2" t="s">
        <v>79</v>
      </c>
      <c r="J159" s="2" t="s">
        <v>80</v>
      </c>
      <c r="K159" s="2">
        <v>98115</v>
      </c>
      <c r="L159" s="2" t="s">
        <v>39</v>
      </c>
      <c r="M159" s="2" t="s">
        <v>410</v>
      </c>
      <c r="N159" s="2" t="s">
        <v>29</v>
      </c>
      <c r="O159" s="2" t="s">
        <v>32</v>
      </c>
      <c r="P159" s="4">
        <v>457.56799999999998</v>
      </c>
      <c r="Q159" s="2">
        <v>2</v>
      </c>
      <c r="R159" s="3">
        <v>0.2</v>
      </c>
      <c r="S159" s="4">
        <v>51.476399999999998</v>
      </c>
      <c r="T159" s="2" t="str">
        <f>TEXT(SalesData[[#This Row],[Order Date]],"mmm")</f>
        <v>Jan</v>
      </c>
      <c r="U159" s="2">
        <f>YEAR(SalesData[[#This Row],[Order Date]])</f>
        <v>2014</v>
      </c>
      <c r="V159" s="2" t="str">
        <f>IF(SalesData[[#This Row],[Profit]]&gt;0,"Profit","Loss")</f>
        <v>Profit</v>
      </c>
      <c r="W159" s="2" t="str">
        <f>IF(SalesData[[#This Row],[Profit]]&gt;100,"High Profit",
IF(SalesData[[#This Row],[Profit]]&gt;0,"Low Profit","Loss"))</f>
        <v>Low Profit</v>
      </c>
      <c r="X159" s="2" t="str">
        <f>IF(AND(SalesData[[#This Row],[Sales]]&gt;500,SalesData[[#This Row],[Profit]]&gt;0),"Good Order","Review")</f>
        <v>Review</v>
      </c>
      <c r="Y159" s="2"/>
      <c r="Z159" s="2"/>
      <c r="AA159" s="2"/>
      <c r="AB159" s="2"/>
    </row>
    <row r="160" spans="1:28" x14ac:dyDescent="0.3">
      <c r="A160" s="2">
        <v>159</v>
      </c>
      <c r="B160" s="2" t="s">
        <v>494</v>
      </c>
      <c r="C160" s="5">
        <v>42694</v>
      </c>
      <c r="D160" s="2" t="s">
        <v>44</v>
      </c>
      <c r="E160" s="2" t="s">
        <v>495</v>
      </c>
      <c r="F160" s="2" t="s">
        <v>496</v>
      </c>
      <c r="G160" s="2" t="s">
        <v>23</v>
      </c>
      <c r="H160" s="2" t="s">
        <v>24</v>
      </c>
      <c r="I160" s="2" t="s">
        <v>497</v>
      </c>
      <c r="J160" s="2" t="s">
        <v>498</v>
      </c>
      <c r="K160" s="2">
        <v>73034</v>
      </c>
      <c r="L160" s="2" t="s">
        <v>88</v>
      </c>
      <c r="M160" s="2" t="s">
        <v>499</v>
      </c>
      <c r="N160" s="2" t="s">
        <v>41</v>
      </c>
      <c r="O160" s="2" t="s">
        <v>42</v>
      </c>
      <c r="P160" s="4">
        <v>14.62</v>
      </c>
      <c r="Q160" s="2">
        <v>2</v>
      </c>
      <c r="R160" s="3">
        <v>0</v>
      </c>
      <c r="S160" s="4">
        <v>6.8714000000000004</v>
      </c>
      <c r="T160" s="2" t="str">
        <f>TEXT(SalesData[[#This Row],[Order Date]],"mmm")</f>
        <v>Nov</v>
      </c>
      <c r="U160" s="2">
        <f>YEAR(SalesData[[#This Row],[Order Date]])</f>
        <v>2016</v>
      </c>
      <c r="V160" s="2" t="str">
        <f>IF(SalesData[[#This Row],[Profit]]&gt;0,"Profit","Loss")</f>
        <v>Profit</v>
      </c>
      <c r="W160" s="2" t="str">
        <f>IF(SalesData[[#This Row],[Profit]]&gt;100,"High Profit",
IF(SalesData[[#This Row],[Profit]]&gt;0,"Low Profit","Loss"))</f>
        <v>Low Profit</v>
      </c>
      <c r="X160" s="2" t="str">
        <f>IF(AND(SalesData[[#This Row],[Sales]]&gt;500,SalesData[[#This Row],[Profit]]&gt;0),"Good Order","Review")</f>
        <v>Review</v>
      </c>
      <c r="Y160" s="2"/>
      <c r="Z160" s="2"/>
      <c r="AA160" s="2"/>
      <c r="AB160" s="2"/>
    </row>
    <row r="161" spans="1:28" x14ac:dyDescent="0.3">
      <c r="A161" s="2">
        <v>160</v>
      </c>
      <c r="B161" s="2" t="s">
        <v>494</v>
      </c>
      <c r="C161" s="5">
        <v>42694</v>
      </c>
      <c r="D161" s="2" t="s">
        <v>44</v>
      </c>
      <c r="E161" s="2" t="s">
        <v>495</v>
      </c>
      <c r="F161" s="2" t="s">
        <v>496</v>
      </c>
      <c r="G161" s="2" t="s">
        <v>23</v>
      </c>
      <c r="H161" s="2" t="s">
        <v>24</v>
      </c>
      <c r="I161" s="2" t="s">
        <v>497</v>
      </c>
      <c r="J161" s="2" t="s">
        <v>498</v>
      </c>
      <c r="K161" s="2">
        <v>73034</v>
      </c>
      <c r="L161" s="2" t="s">
        <v>88</v>
      </c>
      <c r="M161" s="2" t="s">
        <v>500</v>
      </c>
      <c r="N161" s="2" t="s">
        <v>61</v>
      </c>
      <c r="O161" s="2" t="s">
        <v>62</v>
      </c>
      <c r="P161" s="4">
        <v>944.93</v>
      </c>
      <c r="Q161" s="2">
        <v>7</v>
      </c>
      <c r="R161" s="3">
        <v>0</v>
      </c>
      <c r="S161" s="4">
        <v>236.23249999999999</v>
      </c>
      <c r="T161" s="2" t="str">
        <f>TEXT(SalesData[[#This Row],[Order Date]],"mmm")</f>
        <v>Nov</v>
      </c>
      <c r="U161" s="2">
        <f>YEAR(SalesData[[#This Row],[Order Date]])</f>
        <v>2016</v>
      </c>
      <c r="V161" s="2" t="str">
        <f>IF(SalesData[[#This Row],[Profit]]&gt;0,"Profit","Loss")</f>
        <v>Profit</v>
      </c>
      <c r="W161" s="2" t="str">
        <f>IF(SalesData[[#This Row],[Profit]]&gt;100,"High Profit",
IF(SalesData[[#This Row],[Profit]]&gt;0,"Low Profit","Loss"))</f>
        <v>High Profit</v>
      </c>
      <c r="X161" s="2" t="str">
        <f>IF(AND(SalesData[[#This Row],[Sales]]&gt;500,SalesData[[#This Row],[Profit]]&gt;0),"Good Order","Review")</f>
        <v>Good Order</v>
      </c>
      <c r="Y161" s="2"/>
      <c r="Z161" s="2"/>
      <c r="AA161" s="2"/>
      <c r="AB161" s="2"/>
    </row>
    <row r="162" spans="1:28" x14ac:dyDescent="0.3">
      <c r="A162" s="2">
        <v>161</v>
      </c>
      <c r="B162" s="2" t="s">
        <v>501</v>
      </c>
      <c r="C162" s="5">
        <v>42679</v>
      </c>
      <c r="D162" s="2" t="s">
        <v>151</v>
      </c>
      <c r="E162" s="2" t="s">
        <v>502</v>
      </c>
      <c r="F162" s="2" t="s">
        <v>503</v>
      </c>
      <c r="G162" s="2" t="s">
        <v>23</v>
      </c>
      <c r="H162" s="2" t="s">
        <v>24</v>
      </c>
      <c r="I162" s="2" t="s">
        <v>37</v>
      </c>
      <c r="J162" s="2" t="s">
        <v>38</v>
      </c>
      <c r="K162" s="2">
        <v>90045</v>
      </c>
      <c r="L162" s="2" t="s">
        <v>39</v>
      </c>
      <c r="M162" s="2" t="s">
        <v>504</v>
      </c>
      <c r="N162" s="2" t="s">
        <v>41</v>
      </c>
      <c r="O162" s="2" t="s">
        <v>75</v>
      </c>
      <c r="P162" s="4">
        <v>5.98</v>
      </c>
      <c r="Q162" s="2">
        <v>1</v>
      </c>
      <c r="R162" s="3">
        <v>0</v>
      </c>
      <c r="S162" s="4">
        <v>2.6909999999999998</v>
      </c>
      <c r="T162" s="2" t="str">
        <f>TEXT(SalesData[[#This Row],[Order Date]],"mmm")</f>
        <v>Nov</v>
      </c>
      <c r="U162" s="2">
        <f>YEAR(SalesData[[#This Row],[Order Date]])</f>
        <v>2016</v>
      </c>
      <c r="V162" s="2" t="str">
        <f>IF(SalesData[[#This Row],[Profit]]&gt;0,"Profit","Loss")</f>
        <v>Profit</v>
      </c>
      <c r="W162" s="2" t="str">
        <f>IF(SalesData[[#This Row],[Profit]]&gt;100,"High Profit",
IF(SalesData[[#This Row],[Profit]]&gt;0,"Low Profit","Loss"))</f>
        <v>Low Profit</v>
      </c>
      <c r="X162" s="2" t="str">
        <f>IF(AND(SalesData[[#This Row],[Sales]]&gt;500,SalesData[[#This Row],[Profit]]&gt;0),"Good Order","Review")</f>
        <v>Review</v>
      </c>
      <c r="Y162" s="2"/>
      <c r="Z162" s="2"/>
      <c r="AA162" s="2"/>
      <c r="AB162" s="2"/>
    </row>
    <row r="163" spans="1:28" x14ac:dyDescent="0.3">
      <c r="A163" s="2">
        <v>162</v>
      </c>
      <c r="B163" s="2" t="s">
        <v>505</v>
      </c>
      <c r="C163" s="5">
        <v>42366</v>
      </c>
      <c r="D163" s="2" t="s">
        <v>20</v>
      </c>
      <c r="E163" s="2" t="s">
        <v>506</v>
      </c>
      <c r="F163" s="2" t="s">
        <v>507</v>
      </c>
      <c r="G163" s="2" t="s">
        <v>23</v>
      </c>
      <c r="H163" s="2" t="s">
        <v>24</v>
      </c>
      <c r="I163" s="2" t="s">
        <v>120</v>
      </c>
      <c r="J163" s="2" t="s">
        <v>121</v>
      </c>
      <c r="K163" s="2">
        <v>19134</v>
      </c>
      <c r="L163" s="2" t="s">
        <v>122</v>
      </c>
      <c r="M163" s="2" t="s">
        <v>508</v>
      </c>
      <c r="N163" s="2" t="s">
        <v>61</v>
      </c>
      <c r="O163" s="2" t="s">
        <v>133</v>
      </c>
      <c r="P163" s="4">
        <v>54.384</v>
      </c>
      <c r="Q163" s="2">
        <v>2</v>
      </c>
      <c r="R163" s="3">
        <v>0.2</v>
      </c>
      <c r="S163" s="4">
        <v>1.3595999999999999</v>
      </c>
      <c r="T163" s="2" t="str">
        <f>TEXT(SalesData[[#This Row],[Order Date]],"mmm")</f>
        <v>Dec</v>
      </c>
      <c r="U163" s="2">
        <f>YEAR(SalesData[[#This Row],[Order Date]])</f>
        <v>2015</v>
      </c>
      <c r="V163" s="2" t="str">
        <f>IF(SalesData[[#This Row],[Profit]]&gt;0,"Profit","Loss")</f>
        <v>Profit</v>
      </c>
      <c r="W163" s="2" t="str">
        <f>IF(SalesData[[#This Row],[Profit]]&gt;100,"High Profit",
IF(SalesData[[#This Row],[Profit]]&gt;0,"Low Profit","Loss"))</f>
        <v>Low Profit</v>
      </c>
      <c r="X163" s="2" t="str">
        <f>IF(AND(SalesData[[#This Row],[Sales]]&gt;500,SalesData[[#This Row],[Profit]]&gt;0),"Good Order","Review")</f>
        <v>Review</v>
      </c>
      <c r="Y163" s="2"/>
      <c r="Z163" s="2"/>
      <c r="AA163" s="2"/>
      <c r="AB163" s="2"/>
    </row>
    <row r="164" spans="1:28" x14ac:dyDescent="0.3">
      <c r="A164" s="2">
        <v>163</v>
      </c>
      <c r="B164" s="2" t="s">
        <v>509</v>
      </c>
      <c r="C164" s="5">
        <v>42690</v>
      </c>
      <c r="D164" s="2" t="s">
        <v>44</v>
      </c>
      <c r="E164" s="2" t="s">
        <v>510</v>
      </c>
      <c r="F164" s="2" t="s">
        <v>511</v>
      </c>
      <c r="G164" s="2" t="s">
        <v>23</v>
      </c>
      <c r="H164" s="2" t="s">
        <v>24</v>
      </c>
      <c r="I164" s="2" t="s">
        <v>512</v>
      </c>
      <c r="J164" s="2" t="s">
        <v>513</v>
      </c>
      <c r="K164" s="2">
        <v>88220</v>
      </c>
      <c r="L164" s="2" t="s">
        <v>39</v>
      </c>
      <c r="M164" s="2" t="s">
        <v>514</v>
      </c>
      <c r="N164" s="2" t="s">
        <v>41</v>
      </c>
      <c r="O164" s="2" t="s">
        <v>141</v>
      </c>
      <c r="P164" s="4">
        <v>28.4</v>
      </c>
      <c r="Q164" s="2">
        <v>5</v>
      </c>
      <c r="R164" s="3">
        <v>0</v>
      </c>
      <c r="S164" s="4">
        <v>13.348000000000001</v>
      </c>
      <c r="T164" s="2" t="str">
        <f>TEXT(SalesData[[#This Row],[Order Date]],"mmm")</f>
        <v>Nov</v>
      </c>
      <c r="U164" s="2">
        <f>YEAR(SalesData[[#This Row],[Order Date]])</f>
        <v>2016</v>
      </c>
      <c r="V164" s="2" t="str">
        <f>IF(SalesData[[#This Row],[Profit]]&gt;0,"Profit","Loss")</f>
        <v>Profit</v>
      </c>
      <c r="W164" s="2" t="str">
        <f>IF(SalesData[[#This Row],[Profit]]&gt;100,"High Profit",
IF(SalesData[[#This Row],[Profit]]&gt;0,"Low Profit","Loss"))</f>
        <v>Low Profit</v>
      </c>
      <c r="X164" s="2" t="str">
        <f>IF(AND(SalesData[[#This Row],[Sales]]&gt;500,SalesData[[#This Row],[Profit]]&gt;0),"Good Order","Review")</f>
        <v>Review</v>
      </c>
      <c r="Y164" s="2"/>
      <c r="Z164" s="2"/>
      <c r="AA164" s="2"/>
      <c r="AB164" s="2"/>
    </row>
    <row r="165" spans="1:28" x14ac:dyDescent="0.3">
      <c r="A165" s="2">
        <v>164</v>
      </c>
      <c r="B165" s="2" t="s">
        <v>515</v>
      </c>
      <c r="C165" s="5">
        <v>42562</v>
      </c>
      <c r="D165" s="2" t="s">
        <v>44</v>
      </c>
      <c r="E165" s="2" t="s">
        <v>516</v>
      </c>
      <c r="F165" s="2" t="s">
        <v>517</v>
      </c>
      <c r="G165" s="2" t="s">
        <v>23</v>
      </c>
      <c r="H165" s="2" t="s">
        <v>24</v>
      </c>
      <c r="I165" s="2" t="s">
        <v>79</v>
      </c>
      <c r="J165" s="2" t="s">
        <v>80</v>
      </c>
      <c r="K165" s="2">
        <v>98115</v>
      </c>
      <c r="L165" s="2" t="s">
        <v>39</v>
      </c>
      <c r="M165" s="2" t="s">
        <v>518</v>
      </c>
      <c r="N165" s="2" t="s">
        <v>41</v>
      </c>
      <c r="O165" s="2" t="s">
        <v>64</v>
      </c>
      <c r="P165" s="4">
        <v>27.68</v>
      </c>
      <c r="Q165" s="2">
        <v>2</v>
      </c>
      <c r="R165" s="3">
        <v>0.2</v>
      </c>
      <c r="S165" s="4">
        <v>9.6880000000000006</v>
      </c>
      <c r="T165" s="2" t="str">
        <f>TEXT(SalesData[[#This Row],[Order Date]],"mmm")</f>
        <v>Jul</v>
      </c>
      <c r="U165" s="2">
        <f>YEAR(SalesData[[#This Row],[Order Date]])</f>
        <v>2016</v>
      </c>
      <c r="V165" s="2" t="str">
        <f>IF(SalesData[[#This Row],[Profit]]&gt;0,"Profit","Loss")</f>
        <v>Profit</v>
      </c>
      <c r="W165" s="2" t="str">
        <f>IF(SalesData[[#This Row],[Profit]]&gt;100,"High Profit",
IF(SalesData[[#This Row],[Profit]]&gt;0,"Low Profit","Loss"))</f>
        <v>Low Profit</v>
      </c>
      <c r="X165" s="2" t="str">
        <f>IF(AND(SalesData[[#This Row],[Sales]]&gt;500,SalesData[[#This Row],[Profit]]&gt;0),"Good Order","Review")</f>
        <v>Review</v>
      </c>
      <c r="Y165" s="2"/>
      <c r="Z165" s="2"/>
      <c r="AA165" s="2"/>
      <c r="AB165" s="2"/>
    </row>
    <row r="166" spans="1:28" x14ac:dyDescent="0.3">
      <c r="A166" s="2">
        <v>165</v>
      </c>
      <c r="B166" s="2" t="s">
        <v>519</v>
      </c>
      <c r="C166" s="5">
        <v>41860</v>
      </c>
      <c r="D166" s="2" t="s">
        <v>44</v>
      </c>
      <c r="E166" s="2" t="s">
        <v>520</v>
      </c>
      <c r="F166" s="2" t="s">
        <v>521</v>
      </c>
      <c r="G166" s="2" t="s">
        <v>23</v>
      </c>
      <c r="H166" s="2" t="s">
        <v>24</v>
      </c>
      <c r="I166" s="2" t="s">
        <v>522</v>
      </c>
      <c r="J166" s="2" t="s">
        <v>87</v>
      </c>
      <c r="K166" s="2">
        <v>78207</v>
      </c>
      <c r="L166" s="2" t="s">
        <v>88</v>
      </c>
      <c r="M166" s="2" t="s">
        <v>523</v>
      </c>
      <c r="N166" s="2" t="s">
        <v>41</v>
      </c>
      <c r="O166" s="2" t="s">
        <v>59</v>
      </c>
      <c r="P166" s="4">
        <v>9.9359999999999999</v>
      </c>
      <c r="Q166" s="2">
        <v>3</v>
      </c>
      <c r="R166" s="3">
        <v>0.2</v>
      </c>
      <c r="S166" s="4">
        <v>2.7324000000000002</v>
      </c>
      <c r="T166" s="2" t="str">
        <f>TEXT(SalesData[[#This Row],[Order Date]],"mmm")</f>
        <v>Aug</v>
      </c>
      <c r="U166" s="2">
        <f>YEAR(SalesData[[#This Row],[Order Date]])</f>
        <v>2014</v>
      </c>
      <c r="V166" s="2" t="str">
        <f>IF(SalesData[[#This Row],[Profit]]&gt;0,"Profit","Loss")</f>
        <v>Profit</v>
      </c>
      <c r="W166" s="2" t="str">
        <f>IF(SalesData[[#This Row],[Profit]]&gt;100,"High Profit",
IF(SalesData[[#This Row],[Profit]]&gt;0,"Low Profit","Loss"))</f>
        <v>Low Profit</v>
      </c>
      <c r="X166" s="2" t="str">
        <f>IF(AND(SalesData[[#This Row],[Sales]]&gt;500,SalesData[[#This Row],[Profit]]&gt;0),"Good Order","Review")</f>
        <v>Review</v>
      </c>
      <c r="Y166" s="2"/>
      <c r="Z166" s="2"/>
      <c r="AA166" s="2"/>
      <c r="AB166" s="2"/>
    </row>
    <row r="167" spans="1:28" x14ac:dyDescent="0.3">
      <c r="A167" s="2">
        <v>166</v>
      </c>
      <c r="B167" s="2" t="s">
        <v>519</v>
      </c>
      <c r="C167" s="5">
        <v>41860</v>
      </c>
      <c r="D167" s="2" t="s">
        <v>44</v>
      </c>
      <c r="E167" s="2" t="s">
        <v>520</v>
      </c>
      <c r="F167" s="2" t="s">
        <v>521</v>
      </c>
      <c r="G167" s="2" t="s">
        <v>23</v>
      </c>
      <c r="H167" s="2" t="s">
        <v>24</v>
      </c>
      <c r="I167" s="2" t="s">
        <v>522</v>
      </c>
      <c r="J167" s="2" t="s">
        <v>87</v>
      </c>
      <c r="K167" s="2">
        <v>78207</v>
      </c>
      <c r="L167" s="2" t="s">
        <v>88</v>
      </c>
      <c r="M167" s="2" t="s">
        <v>524</v>
      </c>
      <c r="N167" s="2" t="s">
        <v>61</v>
      </c>
      <c r="O167" s="2" t="s">
        <v>525</v>
      </c>
      <c r="P167" s="4">
        <v>8159.9520000000002</v>
      </c>
      <c r="Q167" s="2">
        <v>8</v>
      </c>
      <c r="R167" s="3">
        <v>0.4</v>
      </c>
      <c r="S167" s="4">
        <v>-1359.992</v>
      </c>
      <c r="T167" s="2" t="str">
        <f>TEXT(SalesData[[#This Row],[Order Date]],"mmm")</f>
        <v>Aug</v>
      </c>
      <c r="U167" s="2">
        <f>YEAR(SalesData[[#This Row],[Order Date]])</f>
        <v>2014</v>
      </c>
      <c r="V167" s="2" t="str">
        <f>IF(SalesData[[#This Row],[Profit]]&gt;0,"Profit","Loss")</f>
        <v>Loss</v>
      </c>
      <c r="W167" s="2" t="str">
        <f>IF(SalesData[[#This Row],[Profit]]&gt;100,"High Profit",
IF(SalesData[[#This Row],[Profit]]&gt;0,"Low Profit","Loss"))</f>
        <v>Loss</v>
      </c>
      <c r="X167" s="2" t="str">
        <f>IF(AND(SalesData[[#This Row],[Sales]]&gt;500,SalesData[[#This Row],[Profit]]&gt;0),"Good Order","Review")</f>
        <v>Review</v>
      </c>
      <c r="Y167" s="2"/>
      <c r="Z167" s="2"/>
      <c r="AA167" s="2"/>
      <c r="AB167" s="2"/>
    </row>
    <row r="168" spans="1:28" x14ac:dyDescent="0.3">
      <c r="A168" s="2">
        <v>167</v>
      </c>
      <c r="B168" s="2" t="s">
        <v>519</v>
      </c>
      <c r="C168" s="5">
        <v>41860</v>
      </c>
      <c r="D168" s="2" t="s">
        <v>44</v>
      </c>
      <c r="E168" s="2" t="s">
        <v>520</v>
      </c>
      <c r="F168" s="2" t="s">
        <v>521</v>
      </c>
      <c r="G168" s="2" t="s">
        <v>23</v>
      </c>
      <c r="H168" s="2" t="s">
        <v>24</v>
      </c>
      <c r="I168" s="2" t="s">
        <v>522</v>
      </c>
      <c r="J168" s="2" t="s">
        <v>87</v>
      </c>
      <c r="K168" s="2">
        <v>78207</v>
      </c>
      <c r="L168" s="2" t="s">
        <v>88</v>
      </c>
      <c r="M168" s="2" t="s">
        <v>526</v>
      </c>
      <c r="N168" s="2" t="s">
        <v>41</v>
      </c>
      <c r="O168" s="2" t="s">
        <v>52</v>
      </c>
      <c r="P168" s="4">
        <v>275.928</v>
      </c>
      <c r="Q168" s="2">
        <v>3</v>
      </c>
      <c r="R168" s="3">
        <v>0.2</v>
      </c>
      <c r="S168" s="4">
        <v>-58.634700000000002</v>
      </c>
      <c r="T168" s="2" t="str">
        <f>TEXT(SalesData[[#This Row],[Order Date]],"mmm")</f>
        <v>Aug</v>
      </c>
      <c r="U168" s="2">
        <f>YEAR(SalesData[[#This Row],[Order Date]])</f>
        <v>2014</v>
      </c>
      <c r="V168" s="2" t="str">
        <f>IF(SalesData[[#This Row],[Profit]]&gt;0,"Profit","Loss")</f>
        <v>Loss</v>
      </c>
      <c r="W168" s="2" t="str">
        <f>IF(SalesData[[#This Row],[Profit]]&gt;100,"High Profit",
IF(SalesData[[#This Row],[Profit]]&gt;0,"Low Profit","Loss"))</f>
        <v>Loss</v>
      </c>
      <c r="X168" s="2" t="str">
        <f>IF(AND(SalesData[[#This Row],[Sales]]&gt;500,SalesData[[#This Row],[Profit]]&gt;0),"Good Order","Review")</f>
        <v>Review</v>
      </c>
      <c r="Y168" s="2"/>
      <c r="Z168" s="2"/>
      <c r="AA168" s="2"/>
      <c r="AB168" s="2"/>
    </row>
    <row r="169" spans="1:28" x14ac:dyDescent="0.3">
      <c r="A169" s="2">
        <v>168</v>
      </c>
      <c r="B169" s="2" t="s">
        <v>519</v>
      </c>
      <c r="C169" s="5">
        <v>41860</v>
      </c>
      <c r="D169" s="2" t="s">
        <v>44</v>
      </c>
      <c r="E169" s="2" t="s">
        <v>520</v>
      </c>
      <c r="F169" s="2" t="s">
        <v>521</v>
      </c>
      <c r="G169" s="2" t="s">
        <v>23</v>
      </c>
      <c r="H169" s="2" t="s">
        <v>24</v>
      </c>
      <c r="I169" s="2" t="s">
        <v>522</v>
      </c>
      <c r="J169" s="2" t="s">
        <v>87</v>
      </c>
      <c r="K169" s="2">
        <v>78207</v>
      </c>
      <c r="L169" s="2" t="s">
        <v>88</v>
      </c>
      <c r="M169" s="2" t="s">
        <v>527</v>
      </c>
      <c r="N169" s="2" t="s">
        <v>29</v>
      </c>
      <c r="O169" s="2" t="s">
        <v>32</v>
      </c>
      <c r="P169" s="4">
        <v>1740.06</v>
      </c>
      <c r="Q169" s="2">
        <v>9</v>
      </c>
      <c r="R169" s="3">
        <v>0.3</v>
      </c>
      <c r="S169" s="4">
        <v>-24.858000000000001</v>
      </c>
      <c r="T169" s="2" t="str">
        <f>TEXT(SalesData[[#This Row],[Order Date]],"mmm")</f>
        <v>Aug</v>
      </c>
      <c r="U169" s="2">
        <f>YEAR(SalesData[[#This Row],[Order Date]])</f>
        <v>2014</v>
      </c>
      <c r="V169" s="2" t="str">
        <f>IF(SalesData[[#This Row],[Profit]]&gt;0,"Profit","Loss")</f>
        <v>Loss</v>
      </c>
      <c r="W169" s="2" t="str">
        <f>IF(SalesData[[#This Row],[Profit]]&gt;100,"High Profit",
IF(SalesData[[#This Row],[Profit]]&gt;0,"Low Profit","Loss"))</f>
        <v>Loss</v>
      </c>
      <c r="X169" s="2" t="str">
        <f>IF(AND(SalesData[[#This Row],[Sales]]&gt;500,SalesData[[#This Row],[Profit]]&gt;0),"Good Order","Review")</f>
        <v>Review</v>
      </c>
      <c r="Y169" s="2"/>
      <c r="Z169" s="2"/>
      <c r="AA169" s="2"/>
      <c r="AB169" s="2"/>
    </row>
    <row r="170" spans="1:28" x14ac:dyDescent="0.3">
      <c r="A170" s="2">
        <v>169</v>
      </c>
      <c r="B170" s="2" t="s">
        <v>519</v>
      </c>
      <c r="C170" s="5">
        <v>41860</v>
      </c>
      <c r="D170" s="2" t="s">
        <v>44</v>
      </c>
      <c r="E170" s="2" t="s">
        <v>520</v>
      </c>
      <c r="F170" s="2" t="s">
        <v>521</v>
      </c>
      <c r="G170" s="2" t="s">
        <v>23</v>
      </c>
      <c r="H170" s="2" t="s">
        <v>24</v>
      </c>
      <c r="I170" s="2" t="s">
        <v>522</v>
      </c>
      <c r="J170" s="2" t="s">
        <v>87</v>
      </c>
      <c r="K170" s="2">
        <v>78207</v>
      </c>
      <c r="L170" s="2" t="s">
        <v>88</v>
      </c>
      <c r="M170" s="2" t="s">
        <v>528</v>
      </c>
      <c r="N170" s="2" t="s">
        <v>41</v>
      </c>
      <c r="O170" s="2" t="s">
        <v>59</v>
      </c>
      <c r="P170" s="4">
        <v>32.064</v>
      </c>
      <c r="Q170" s="2">
        <v>6</v>
      </c>
      <c r="R170" s="3">
        <v>0.2</v>
      </c>
      <c r="S170" s="4">
        <v>6.8136000000000001</v>
      </c>
      <c r="T170" s="2" t="str">
        <f>TEXT(SalesData[[#This Row],[Order Date]],"mmm")</f>
        <v>Aug</v>
      </c>
      <c r="U170" s="2">
        <f>YEAR(SalesData[[#This Row],[Order Date]])</f>
        <v>2014</v>
      </c>
      <c r="V170" s="2" t="str">
        <f>IF(SalesData[[#This Row],[Profit]]&gt;0,"Profit","Loss")</f>
        <v>Profit</v>
      </c>
      <c r="W170" s="2" t="str">
        <f>IF(SalesData[[#This Row],[Profit]]&gt;100,"High Profit",
IF(SalesData[[#This Row],[Profit]]&gt;0,"Low Profit","Loss"))</f>
        <v>Low Profit</v>
      </c>
      <c r="X170" s="2" t="str">
        <f>IF(AND(SalesData[[#This Row],[Sales]]&gt;500,SalesData[[#This Row],[Profit]]&gt;0),"Good Order","Review")</f>
        <v>Review</v>
      </c>
      <c r="Y170" s="2"/>
      <c r="Z170" s="2"/>
      <c r="AA170" s="2"/>
      <c r="AB170" s="2"/>
    </row>
    <row r="171" spans="1:28" x14ac:dyDescent="0.3">
      <c r="A171" s="2">
        <v>170</v>
      </c>
      <c r="B171" s="2" t="s">
        <v>519</v>
      </c>
      <c r="C171" s="5">
        <v>41860</v>
      </c>
      <c r="D171" s="2" t="s">
        <v>44</v>
      </c>
      <c r="E171" s="2" t="s">
        <v>520</v>
      </c>
      <c r="F171" s="2" t="s">
        <v>521</v>
      </c>
      <c r="G171" s="2" t="s">
        <v>23</v>
      </c>
      <c r="H171" s="2" t="s">
        <v>24</v>
      </c>
      <c r="I171" s="2" t="s">
        <v>522</v>
      </c>
      <c r="J171" s="2" t="s">
        <v>87</v>
      </c>
      <c r="K171" s="2">
        <v>78207</v>
      </c>
      <c r="L171" s="2" t="s">
        <v>88</v>
      </c>
      <c r="M171" s="2" t="s">
        <v>529</v>
      </c>
      <c r="N171" s="2" t="s">
        <v>41</v>
      </c>
      <c r="O171" s="2" t="s">
        <v>66</v>
      </c>
      <c r="P171" s="4">
        <v>177.98</v>
      </c>
      <c r="Q171" s="2">
        <v>5</v>
      </c>
      <c r="R171" s="3">
        <v>0.8</v>
      </c>
      <c r="S171" s="4">
        <v>-453.84899999999999</v>
      </c>
      <c r="T171" s="2" t="str">
        <f>TEXT(SalesData[[#This Row],[Order Date]],"mmm")</f>
        <v>Aug</v>
      </c>
      <c r="U171" s="2">
        <f>YEAR(SalesData[[#This Row],[Order Date]])</f>
        <v>2014</v>
      </c>
      <c r="V171" s="2" t="str">
        <f>IF(SalesData[[#This Row],[Profit]]&gt;0,"Profit","Loss")</f>
        <v>Loss</v>
      </c>
      <c r="W171" s="2" t="str">
        <f>IF(SalesData[[#This Row],[Profit]]&gt;100,"High Profit",
IF(SalesData[[#This Row],[Profit]]&gt;0,"Low Profit","Loss"))</f>
        <v>Loss</v>
      </c>
      <c r="X171" s="2" t="str">
        <f>IF(AND(SalesData[[#This Row],[Sales]]&gt;500,SalesData[[#This Row],[Profit]]&gt;0),"Good Order","Review")</f>
        <v>Review</v>
      </c>
      <c r="Y171" s="2"/>
      <c r="Z171" s="2"/>
      <c r="AA171" s="2"/>
      <c r="AB171" s="2"/>
    </row>
    <row r="172" spans="1:28" x14ac:dyDescent="0.3">
      <c r="A172" s="2">
        <v>171</v>
      </c>
      <c r="B172" s="2" t="s">
        <v>519</v>
      </c>
      <c r="C172" s="5">
        <v>41860</v>
      </c>
      <c r="D172" s="2" t="s">
        <v>44</v>
      </c>
      <c r="E172" s="2" t="s">
        <v>520</v>
      </c>
      <c r="F172" s="2" t="s">
        <v>521</v>
      </c>
      <c r="G172" s="2" t="s">
        <v>23</v>
      </c>
      <c r="H172" s="2" t="s">
        <v>24</v>
      </c>
      <c r="I172" s="2" t="s">
        <v>522</v>
      </c>
      <c r="J172" s="2" t="s">
        <v>87</v>
      </c>
      <c r="K172" s="2">
        <v>78207</v>
      </c>
      <c r="L172" s="2" t="s">
        <v>88</v>
      </c>
      <c r="M172" s="2" t="s">
        <v>530</v>
      </c>
      <c r="N172" s="2" t="s">
        <v>61</v>
      </c>
      <c r="O172" s="2" t="s">
        <v>62</v>
      </c>
      <c r="P172" s="4">
        <v>143.976</v>
      </c>
      <c r="Q172" s="2">
        <v>3</v>
      </c>
      <c r="R172" s="3">
        <v>0.2</v>
      </c>
      <c r="S172" s="4">
        <v>8.9984999999999999</v>
      </c>
      <c r="T172" s="2" t="str">
        <f>TEXT(SalesData[[#This Row],[Order Date]],"mmm")</f>
        <v>Aug</v>
      </c>
      <c r="U172" s="2">
        <f>YEAR(SalesData[[#This Row],[Order Date]])</f>
        <v>2014</v>
      </c>
      <c r="V172" s="2" t="str">
        <f>IF(SalesData[[#This Row],[Profit]]&gt;0,"Profit","Loss")</f>
        <v>Profit</v>
      </c>
      <c r="W172" s="2" t="str">
        <f>IF(SalesData[[#This Row],[Profit]]&gt;100,"High Profit",
IF(SalesData[[#This Row],[Profit]]&gt;0,"Low Profit","Loss"))</f>
        <v>Low Profit</v>
      </c>
      <c r="X172" s="2" t="str">
        <f>IF(AND(SalesData[[#This Row],[Sales]]&gt;500,SalesData[[#This Row],[Profit]]&gt;0),"Good Order","Review")</f>
        <v>Review</v>
      </c>
      <c r="Y172" s="2"/>
      <c r="Z172" s="2"/>
      <c r="AA172" s="2"/>
      <c r="AB172" s="2"/>
    </row>
    <row r="173" spans="1:28" x14ac:dyDescent="0.3">
      <c r="A173" s="2">
        <v>172</v>
      </c>
      <c r="B173" s="2" t="s">
        <v>531</v>
      </c>
      <c r="C173" s="5">
        <v>41767</v>
      </c>
      <c r="D173" s="2" t="s">
        <v>44</v>
      </c>
      <c r="E173" s="2" t="s">
        <v>532</v>
      </c>
      <c r="F173" s="2" t="s">
        <v>533</v>
      </c>
      <c r="G173" s="2" t="s">
        <v>23</v>
      </c>
      <c r="H173" s="2" t="s">
        <v>24</v>
      </c>
      <c r="I173" s="2" t="s">
        <v>37</v>
      </c>
      <c r="J173" s="2" t="s">
        <v>38</v>
      </c>
      <c r="K173" s="2">
        <v>90004</v>
      </c>
      <c r="L173" s="2" t="s">
        <v>39</v>
      </c>
      <c r="M173" s="2" t="s">
        <v>534</v>
      </c>
      <c r="N173" s="2" t="s">
        <v>41</v>
      </c>
      <c r="O173" s="2" t="s">
        <v>75</v>
      </c>
      <c r="P173" s="4">
        <v>20.94</v>
      </c>
      <c r="Q173" s="2">
        <v>3</v>
      </c>
      <c r="R173" s="3">
        <v>0</v>
      </c>
      <c r="S173" s="4">
        <v>9.8417999999999992</v>
      </c>
      <c r="T173" s="2" t="str">
        <f>TEXT(SalesData[[#This Row],[Order Date]],"mmm")</f>
        <v>May</v>
      </c>
      <c r="U173" s="2">
        <f>YEAR(SalesData[[#This Row],[Order Date]])</f>
        <v>2014</v>
      </c>
      <c r="V173" s="2" t="str">
        <f>IF(SalesData[[#This Row],[Profit]]&gt;0,"Profit","Loss")</f>
        <v>Profit</v>
      </c>
      <c r="W173" s="2" t="str">
        <f>IF(SalesData[[#This Row],[Profit]]&gt;100,"High Profit",
IF(SalesData[[#This Row],[Profit]]&gt;0,"Low Profit","Loss"))</f>
        <v>Low Profit</v>
      </c>
      <c r="X173" s="2" t="str">
        <f>IF(AND(SalesData[[#This Row],[Sales]]&gt;500,SalesData[[#This Row],[Profit]]&gt;0),"Good Order","Review")</f>
        <v>Review</v>
      </c>
      <c r="Y173" s="2"/>
      <c r="Z173" s="2"/>
      <c r="AA173" s="2"/>
      <c r="AB173" s="2"/>
    </row>
    <row r="174" spans="1:28" x14ac:dyDescent="0.3">
      <c r="A174" s="2">
        <v>173</v>
      </c>
      <c r="B174" s="2" t="s">
        <v>531</v>
      </c>
      <c r="C174" s="5">
        <v>41767</v>
      </c>
      <c r="D174" s="2" t="s">
        <v>44</v>
      </c>
      <c r="E174" s="2" t="s">
        <v>532</v>
      </c>
      <c r="F174" s="2" t="s">
        <v>533</v>
      </c>
      <c r="G174" s="2" t="s">
        <v>23</v>
      </c>
      <c r="H174" s="2" t="s">
        <v>24</v>
      </c>
      <c r="I174" s="2" t="s">
        <v>37</v>
      </c>
      <c r="J174" s="2" t="s">
        <v>38</v>
      </c>
      <c r="K174" s="2">
        <v>90004</v>
      </c>
      <c r="L174" s="2" t="s">
        <v>39</v>
      </c>
      <c r="M174" s="2" t="s">
        <v>535</v>
      </c>
      <c r="N174" s="2" t="s">
        <v>41</v>
      </c>
      <c r="O174" s="2" t="s">
        <v>75</v>
      </c>
      <c r="P174" s="4">
        <v>110.96</v>
      </c>
      <c r="Q174" s="2">
        <v>2</v>
      </c>
      <c r="R174" s="3">
        <v>0</v>
      </c>
      <c r="S174" s="4">
        <v>53.260800000000003</v>
      </c>
      <c r="T174" s="2" t="str">
        <f>TEXT(SalesData[[#This Row],[Order Date]],"mmm")</f>
        <v>May</v>
      </c>
      <c r="U174" s="2">
        <f>YEAR(SalesData[[#This Row],[Order Date]])</f>
        <v>2014</v>
      </c>
      <c r="V174" s="2" t="str">
        <f>IF(SalesData[[#This Row],[Profit]]&gt;0,"Profit","Loss")</f>
        <v>Profit</v>
      </c>
      <c r="W174" s="2" t="str">
        <f>IF(SalesData[[#This Row],[Profit]]&gt;100,"High Profit",
IF(SalesData[[#This Row],[Profit]]&gt;0,"Low Profit","Loss"))</f>
        <v>Low Profit</v>
      </c>
      <c r="X174" s="2" t="str">
        <f>IF(AND(SalesData[[#This Row],[Sales]]&gt;500,SalesData[[#This Row],[Profit]]&gt;0),"Good Order","Review")</f>
        <v>Review</v>
      </c>
      <c r="Y174" s="2"/>
      <c r="Z174" s="2"/>
      <c r="AA174" s="2"/>
      <c r="AB174" s="2"/>
    </row>
    <row r="175" spans="1:28" x14ac:dyDescent="0.3">
      <c r="A175" s="2">
        <v>174</v>
      </c>
      <c r="B175" s="2" t="s">
        <v>531</v>
      </c>
      <c r="C175" s="5">
        <v>41767</v>
      </c>
      <c r="D175" s="2" t="s">
        <v>44</v>
      </c>
      <c r="E175" s="2" t="s">
        <v>532</v>
      </c>
      <c r="F175" s="2" t="s">
        <v>533</v>
      </c>
      <c r="G175" s="2" t="s">
        <v>23</v>
      </c>
      <c r="H175" s="2" t="s">
        <v>24</v>
      </c>
      <c r="I175" s="2" t="s">
        <v>37</v>
      </c>
      <c r="J175" s="2" t="s">
        <v>38</v>
      </c>
      <c r="K175" s="2">
        <v>90004</v>
      </c>
      <c r="L175" s="2" t="s">
        <v>39</v>
      </c>
      <c r="M175" s="2" t="s">
        <v>536</v>
      </c>
      <c r="N175" s="2" t="s">
        <v>29</v>
      </c>
      <c r="O175" s="2" t="s">
        <v>32</v>
      </c>
      <c r="P175" s="4">
        <v>340.14400000000001</v>
      </c>
      <c r="Q175" s="2">
        <v>7</v>
      </c>
      <c r="R175" s="3">
        <v>0.2</v>
      </c>
      <c r="S175" s="4">
        <v>21.259</v>
      </c>
      <c r="T175" s="2" t="str">
        <f>TEXT(SalesData[[#This Row],[Order Date]],"mmm")</f>
        <v>May</v>
      </c>
      <c r="U175" s="2">
        <f>YEAR(SalesData[[#This Row],[Order Date]])</f>
        <v>2014</v>
      </c>
      <c r="V175" s="2" t="str">
        <f>IF(SalesData[[#This Row],[Profit]]&gt;0,"Profit","Loss")</f>
        <v>Profit</v>
      </c>
      <c r="W175" s="2" t="str">
        <f>IF(SalesData[[#This Row],[Profit]]&gt;100,"High Profit",
IF(SalesData[[#This Row],[Profit]]&gt;0,"Low Profit","Loss"))</f>
        <v>Low Profit</v>
      </c>
      <c r="X175" s="2" t="str">
        <f>IF(AND(SalesData[[#This Row],[Sales]]&gt;500,SalesData[[#This Row],[Profit]]&gt;0),"Good Order","Review")</f>
        <v>Review</v>
      </c>
      <c r="Y175" s="2"/>
      <c r="Z175" s="2"/>
      <c r="AA175" s="2"/>
      <c r="AB175" s="2"/>
    </row>
    <row r="176" spans="1:28" x14ac:dyDescent="0.3">
      <c r="A176" s="2">
        <v>175</v>
      </c>
      <c r="B176" s="2" t="s">
        <v>537</v>
      </c>
      <c r="C176" s="5">
        <v>41896</v>
      </c>
      <c r="D176" s="2" t="s">
        <v>44</v>
      </c>
      <c r="E176" s="2" t="s">
        <v>538</v>
      </c>
      <c r="F176" s="2" t="s">
        <v>539</v>
      </c>
      <c r="G176" s="2" t="s">
        <v>36</v>
      </c>
      <c r="H176" s="2" t="s">
        <v>24</v>
      </c>
      <c r="I176" s="2" t="s">
        <v>236</v>
      </c>
      <c r="J176" s="2" t="s">
        <v>168</v>
      </c>
      <c r="K176" s="2">
        <v>60623</v>
      </c>
      <c r="L176" s="2" t="s">
        <v>88</v>
      </c>
      <c r="M176" s="2" t="s">
        <v>540</v>
      </c>
      <c r="N176" s="2" t="s">
        <v>41</v>
      </c>
      <c r="O176" s="2" t="s">
        <v>66</v>
      </c>
      <c r="P176" s="4">
        <v>52.448</v>
      </c>
      <c r="Q176" s="2">
        <v>2</v>
      </c>
      <c r="R176" s="3">
        <v>0.8</v>
      </c>
      <c r="S176" s="4">
        <v>-131.12</v>
      </c>
      <c r="T176" s="2" t="str">
        <f>TEXT(SalesData[[#This Row],[Order Date]],"mmm")</f>
        <v>Sep</v>
      </c>
      <c r="U176" s="2">
        <f>YEAR(SalesData[[#This Row],[Order Date]])</f>
        <v>2014</v>
      </c>
      <c r="V176" s="2" t="str">
        <f>IF(SalesData[[#This Row],[Profit]]&gt;0,"Profit","Loss")</f>
        <v>Loss</v>
      </c>
      <c r="W176" s="2" t="str">
        <f>IF(SalesData[[#This Row],[Profit]]&gt;100,"High Profit",
IF(SalesData[[#This Row],[Profit]]&gt;0,"Low Profit","Loss"))</f>
        <v>Loss</v>
      </c>
      <c r="X176" s="2" t="str">
        <f>IF(AND(SalesData[[#This Row],[Sales]]&gt;500,SalesData[[#This Row],[Profit]]&gt;0),"Good Order","Review")</f>
        <v>Review</v>
      </c>
      <c r="Y176" s="2"/>
      <c r="Z176" s="2"/>
      <c r="AA176" s="2"/>
      <c r="AB176" s="2"/>
    </row>
    <row r="177" spans="1:28" x14ac:dyDescent="0.3">
      <c r="A177" s="2">
        <v>176</v>
      </c>
      <c r="B177" s="2" t="s">
        <v>537</v>
      </c>
      <c r="C177" s="5">
        <v>41896</v>
      </c>
      <c r="D177" s="2" t="s">
        <v>44</v>
      </c>
      <c r="E177" s="2" t="s">
        <v>538</v>
      </c>
      <c r="F177" s="2" t="s">
        <v>539</v>
      </c>
      <c r="G177" s="2" t="s">
        <v>36</v>
      </c>
      <c r="H177" s="2" t="s">
        <v>24</v>
      </c>
      <c r="I177" s="2" t="s">
        <v>236</v>
      </c>
      <c r="J177" s="2" t="s">
        <v>168</v>
      </c>
      <c r="K177" s="2">
        <v>60623</v>
      </c>
      <c r="L177" s="2" t="s">
        <v>88</v>
      </c>
      <c r="M177" s="2" t="s">
        <v>541</v>
      </c>
      <c r="N177" s="2" t="s">
        <v>41</v>
      </c>
      <c r="O177" s="2" t="s">
        <v>42</v>
      </c>
      <c r="P177" s="4">
        <v>20.16</v>
      </c>
      <c r="Q177" s="2">
        <v>4</v>
      </c>
      <c r="R177" s="3">
        <v>0.2</v>
      </c>
      <c r="S177" s="4">
        <v>6.5519999999999996</v>
      </c>
      <c r="T177" s="2" t="str">
        <f>TEXT(SalesData[[#This Row],[Order Date]],"mmm")</f>
        <v>Sep</v>
      </c>
      <c r="U177" s="2">
        <f>YEAR(SalesData[[#This Row],[Order Date]])</f>
        <v>2014</v>
      </c>
      <c r="V177" s="2" t="str">
        <f>IF(SalesData[[#This Row],[Profit]]&gt;0,"Profit","Loss")</f>
        <v>Profit</v>
      </c>
      <c r="W177" s="2" t="str">
        <f>IF(SalesData[[#This Row],[Profit]]&gt;100,"High Profit",
IF(SalesData[[#This Row],[Profit]]&gt;0,"Low Profit","Loss"))</f>
        <v>Low Profit</v>
      </c>
      <c r="X177" s="2" t="str">
        <f>IF(AND(SalesData[[#This Row],[Sales]]&gt;500,SalesData[[#This Row],[Profit]]&gt;0),"Good Order","Review")</f>
        <v>Review</v>
      </c>
      <c r="Y177" s="2"/>
      <c r="Z177" s="2"/>
      <c r="AA177" s="2"/>
      <c r="AB177" s="2"/>
    </row>
    <row r="178" spans="1:28" x14ac:dyDescent="0.3">
      <c r="A178" s="2">
        <v>177</v>
      </c>
      <c r="B178" s="2" t="s">
        <v>542</v>
      </c>
      <c r="C178" s="5">
        <v>42846</v>
      </c>
      <c r="D178" s="2" t="s">
        <v>20</v>
      </c>
      <c r="E178" s="2" t="s">
        <v>543</v>
      </c>
      <c r="F178" s="2" t="s">
        <v>544</v>
      </c>
      <c r="G178" s="2" t="s">
        <v>23</v>
      </c>
      <c r="H178" s="2" t="s">
        <v>24</v>
      </c>
      <c r="I178" s="2" t="s">
        <v>148</v>
      </c>
      <c r="J178" s="2" t="s">
        <v>87</v>
      </c>
      <c r="K178" s="2">
        <v>77036</v>
      </c>
      <c r="L178" s="2" t="s">
        <v>88</v>
      </c>
      <c r="M178" s="2" t="s">
        <v>545</v>
      </c>
      <c r="N178" s="2" t="s">
        <v>41</v>
      </c>
      <c r="O178" s="2" t="s">
        <v>66</v>
      </c>
      <c r="P178" s="4">
        <v>97.263999999999996</v>
      </c>
      <c r="Q178" s="2">
        <v>4</v>
      </c>
      <c r="R178" s="3">
        <v>0.8</v>
      </c>
      <c r="S178" s="4">
        <v>-243.16</v>
      </c>
      <c r="T178" s="2" t="str">
        <f>TEXT(SalesData[[#This Row],[Order Date]],"mmm")</f>
        <v>Apr</v>
      </c>
      <c r="U178" s="2">
        <f>YEAR(SalesData[[#This Row],[Order Date]])</f>
        <v>2017</v>
      </c>
      <c r="V178" s="2" t="str">
        <f>IF(SalesData[[#This Row],[Profit]]&gt;0,"Profit","Loss")</f>
        <v>Loss</v>
      </c>
      <c r="W178" s="2" t="str">
        <f>IF(SalesData[[#This Row],[Profit]]&gt;100,"High Profit",
IF(SalesData[[#This Row],[Profit]]&gt;0,"Low Profit","Loss"))</f>
        <v>Loss</v>
      </c>
      <c r="X178" s="2" t="str">
        <f>IF(AND(SalesData[[#This Row],[Sales]]&gt;500,SalesData[[#This Row],[Profit]]&gt;0),"Good Order","Review")</f>
        <v>Review</v>
      </c>
      <c r="Y178" s="2"/>
      <c r="Z178" s="2"/>
      <c r="AA178" s="2"/>
      <c r="AB178" s="2"/>
    </row>
    <row r="179" spans="1:28" x14ac:dyDescent="0.3">
      <c r="A179" s="2">
        <v>178</v>
      </c>
      <c r="B179" s="2" t="s">
        <v>546</v>
      </c>
      <c r="C179" s="5">
        <v>42329</v>
      </c>
      <c r="D179" s="2" t="s">
        <v>20</v>
      </c>
      <c r="E179" s="2" t="s">
        <v>259</v>
      </c>
      <c r="F179" s="2" t="s">
        <v>260</v>
      </c>
      <c r="G179" s="2" t="s">
        <v>23</v>
      </c>
      <c r="H179" s="2" t="s">
        <v>24</v>
      </c>
      <c r="I179" s="2" t="s">
        <v>465</v>
      </c>
      <c r="J179" s="2" t="s">
        <v>385</v>
      </c>
      <c r="K179" s="2">
        <v>43055</v>
      </c>
      <c r="L179" s="2" t="s">
        <v>122</v>
      </c>
      <c r="M179" s="2" t="s">
        <v>547</v>
      </c>
      <c r="N179" s="2" t="s">
        <v>29</v>
      </c>
      <c r="O179" s="2" t="s">
        <v>32</v>
      </c>
      <c r="P179" s="4">
        <v>396.80200000000002</v>
      </c>
      <c r="Q179" s="2">
        <v>7</v>
      </c>
      <c r="R179" s="3">
        <v>0.3</v>
      </c>
      <c r="S179" s="4">
        <v>-11.337199999999999</v>
      </c>
      <c r="T179" s="2" t="str">
        <f>TEXT(SalesData[[#This Row],[Order Date]],"mmm")</f>
        <v>Nov</v>
      </c>
      <c r="U179" s="2">
        <f>YEAR(SalesData[[#This Row],[Order Date]])</f>
        <v>2015</v>
      </c>
      <c r="V179" s="2" t="str">
        <f>IF(SalesData[[#This Row],[Profit]]&gt;0,"Profit","Loss")</f>
        <v>Loss</v>
      </c>
      <c r="W179" s="2" t="str">
        <f>IF(SalesData[[#This Row],[Profit]]&gt;100,"High Profit",
IF(SalesData[[#This Row],[Profit]]&gt;0,"Low Profit","Loss"))</f>
        <v>Loss</v>
      </c>
      <c r="X179" s="2" t="str">
        <f>IF(AND(SalesData[[#This Row],[Sales]]&gt;500,SalesData[[#This Row],[Profit]]&gt;0),"Good Order","Review")</f>
        <v>Review</v>
      </c>
      <c r="Y179" s="2"/>
      <c r="Z179" s="2"/>
      <c r="AA179" s="2"/>
      <c r="AB179" s="2"/>
    </row>
    <row r="180" spans="1:28" x14ac:dyDescent="0.3">
      <c r="A180" s="2">
        <v>179</v>
      </c>
      <c r="B180" s="2" t="s">
        <v>546</v>
      </c>
      <c r="C180" s="5">
        <v>42329</v>
      </c>
      <c r="D180" s="2" t="s">
        <v>20</v>
      </c>
      <c r="E180" s="2" t="s">
        <v>259</v>
      </c>
      <c r="F180" s="2" t="s">
        <v>260</v>
      </c>
      <c r="G180" s="2" t="s">
        <v>23</v>
      </c>
      <c r="H180" s="2" t="s">
        <v>24</v>
      </c>
      <c r="I180" s="2" t="s">
        <v>465</v>
      </c>
      <c r="J180" s="2" t="s">
        <v>385</v>
      </c>
      <c r="K180" s="2">
        <v>43055</v>
      </c>
      <c r="L180" s="2" t="s">
        <v>122</v>
      </c>
      <c r="M180" s="2" t="s">
        <v>548</v>
      </c>
      <c r="N180" s="2" t="s">
        <v>41</v>
      </c>
      <c r="O180" s="2" t="s">
        <v>442</v>
      </c>
      <c r="P180" s="4">
        <v>15.88</v>
      </c>
      <c r="Q180" s="2">
        <v>5</v>
      </c>
      <c r="R180" s="3">
        <v>0.2</v>
      </c>
      <c r="S180" s="4">
        <v>-3.7715000000000001</v>
      </c>
      <c r="T180" s="2" t="str">
        <f>TEXT(SalesData[[#This Row],[Order Date]],"mmm")</f>
        <v>Nov</v>
      </c>
      <c r="U180" s="2">
        <f>YEAR(SalesData[[#This Row],[Order Date]])</f>
        <v>2015</v>
      </c>
      <c r="V180" s="2" t="str">
        <f>IF(SalesData[[#This Row],[Profit]]&gt;0,"Profit","Loss")</f>
        <v>Loss</v>
      </c>
      <c r="W180" s="2" t="str">
        <f>IF(SalesData[[#This Row],[Profit]]&gt;100,"High Profit",
IF(SalesData[[#This Row],[Profit]]&gt;0,"Low Profit","Loss"))</f>
        <v>Loss</v>
      </c>
      <c r="X180" s="2" t="str">
        <f>IF(AND(SalesData[[#This Row],[Sales]]&gt;500,SalesData[[#This Row],[Profit]]&gt;0),"Good Order","Review")</f>
        <v>Review</v>
      </c>
      <c r="Y180" s="2"/>
      <c r="Z180" s="2"/>
      <c r="AA180" s="2"/>
      <c r="AB180" s="2"/>
    </row>
    <row r="181" spans="1:28" x14ac:dyDescent="0.3">
      <c r="A181" s="2">
        <v>180</v>
      </c>
      <c r="B181" s="2" t="s">
        <v>549</v>
      </c>
      <c r="C181" s="5">
        <v>42353</v>
      </c>
      <c r="D181" s="2" t="s">
        <v>44</v>
      </c>
      <c r="E181" s="2" t="s">
        <v>550</v>
      </c>
      <c r="F181" s="2" t="s">
        <v>551</v>
      </c>
      <c r="G181" s="2" t="s">
        <v>85</v>
      </c>
      <c r="H181" s="2" t="s">
        <v>24</v>
      </c>
      <c r="I181" s="2" t="s">
        <v>211</v>
      </c>
      <c r="J181" s="2" t="s">
        <v>212</v>
      </c>
      <c r="K181" s="2">
        <v>10009</v>
      </c>
      <c r="L181" s="2" t="s">
        <v>122</v>
      </c>
      <c r="M181" s="2" t="s">
        <v>552</v>
      </c>
      <c r="N181" s="2" t="s">
        <v>41</v>
      </c>
      <c r="O181" s="2" t="s">
        <v>59</v>
      </c>
      <c r="P181" s="4">
        <v>3.28</v>
      </c>
      <c r="Q181" s="2">
        <v>1</v>
      </c>
      <c r="R181" s="3">
        <v>0</v>
      </c>
      <c r="S181" s="4">
        <v>1.4104000000000001</v>
      </c>
      <c r="T181" s="2" t="str">
        <f>TEXT(SalesData[[#This Row],[Order Date]],"mmm")</f>
        <v>Dec</v>
      </c>
      <c r="U181" s="2">
        <f>YEAR(SalesData[[#This Row],[Order Date]])</f>
        <v>2015</v>
      </c>
      <c r="V181" s="2" t="str">
        <f>IF(SalesData[[#This Row],[Profit]]&gt;0,"Profit","Loss")</f>
        <v>Profit</v>
      </c>
      <c r="W181" s="2" t="str">
        <f>IF(SalesData[[#This Row],[Profit]]&gt;100,"High Profit",
IF(SalesData[[#This Row],[Profit]]&gt;0,"Low Profit","Loss"))</f>
        <v>Low Profit</v>
      </c>
      <c r="X181" s="2" t="str">
        <f>IF(AND(SalesData[[#This Row],[Sales]]&gt;500,SalesData[[#This Row],[Profit]]&gt;0),"Good Order","Review")</f>
        <v>Review</v>
      </c>
      <c r="Y181" s="2"/>
      <c r="Z181" s="2"/>
      <c r="AA181" s="2"/>
      <c r="AB181" s="2"/>
    </row>
    <row r="182" spans="1:28" x14ac:dyDescent="0.3">
      <c r="A182" s="2">
        <v>181</v>
      </c>
      <c r="B182" s="2" t="s">
        <v>553</v>
      </c>
      <c r="C182" s="5">
        <v>41771</v>
      </c>
      <c r="D182" s="2" t="s">
        <v>20</v>
      </c>
      <c r="E182" s="2" t="s">
        <v>554</v>
      </c>
      <c r="F182" s="2" t="s">
        <v>555</v>
      </c>
      <c r="G182" s="2" t="s">
        <v>36</v>
      </c>
      <c r="H182" s="2" t="s">
        <v>24</v>
      </c>
      <c r="I182" s="2" t="s">
        <v>277</v>
      </c>
      <c r="J182" s="2" t="s">
        <v>168</v>
      </c>
      <c r="K182" s="2">
        <v>62521</v>
      </c>
      <c r="L182" s="2" t="s">
        <v>88</v>
      </c>
      <c r="M182" s="2" t="s">
        <v>556</v>
      </c>
      <c r="N182" s="2" t="s">
        <v>41</v>
      </c>
      <c r="O182" s="2" t="s">
        <v>52</v>
      </c>
      <c r="P182" s="4">
        <v>24.815999999999999</v>
      </c>
      <c r="Q182" s="2">
        <v>2</v>
      </c>
      <c r="R182" s="3">
        <v>0.2</v>
      </c>
      <c r="S182" s="4">
        <v>1.8612</v>
      </c>
      <c r="T182" s="2" t="str">
        <f>TEXT(SalesData[[#This Row],[Order Date]],"mmm")</f>
        <v>May</v>
      </c>
      <c r="U182" s="2">
        <f>YEAR(SalesData[[#This Row],[Order Date]])</f>
        <v>2014</v>
      </c>
      <c r="V182" s="2" t="str">
        <f>IF(SalesData[[#This Row],[Profit]]&gt;0,"Profit","Loss")</f>
        <v>Profit</v>
      </c>
      <c r="W182" s="2" t="str">
        <f>IF(SalesData[[#This Row],[Profit]]&gt;100,"High Profit",
IF(SalesData[[#This Row],[Profit]]&gt;0,"Low Profit","Loss"))</f>
        <v>Low Profit</v>
      </c>
      <c r="X182" s="2" t="str">
        <f>IF(AND(SalesData[[#This Row],[Sales]]&gt;500,SalesData[[#This Row],[Profit]]&gt;0),"Good Order","Review")</f>
        <v>Review</v>
      </c>
      <c r="Y182" s="2"/>
      <c r="Z182" s="2"/>
      <c r="AA182" s="2"/>
      <c r="AB182" s="2"/>
    </row>
    <row r="183" spans="1:28" x14ac:dyDescent="0.3">
      <c r="A183" s="2">
        <v>182</v>
      </c>
      <c r="B183" s="2" t="s">
        <v>553</v>
      </c>
      <c r="C183" s="5">
        <v>41771</v>
      </c>
      <c r="D183" s="2" t="s">
        <v>20</v>
      </c>
      <c r="E183" s="2" t="s">
        <v>554</v>
      </c>
      <c r="F183" s="2" t="s">
        <v>555</v>
      </c>
      <c r="G183" s="2" t="s">
        <v>36</v>
      </c>
      <c r="H183" s="2" t="s">
        <v>24</v>
      </c>
      <c r="I183" s="2" t="s">
        <v>277</v>
      </c>
      <c r="J183" s="2" t="s">
        <v>168</v>
      </c>
      <c r="K183" s="2">
        <v>62521</v>
      </c>
      <c r="L183" s="2" t="s">
        <v>88</v>
      </c>
      <c r="M183" s="2" t="s">
        <v>557</v>
      </c>
      <c r="N183" s="2" t="s">
        <v>61</v>
      </c>
      <c r="O183" s="2" t="s">
        <v>133</v>
      </c>
      <c r="P183" s="4">
        <v>408.74400000000003</v>
      </c>
      <c r="Q183" s="2">
        <v>7</v>
      </c>
      <c r="R183" s="3">
        <v>0.2</v>
      </c>
      <c r="S183" s="4">
        <v>76.639499999999998</v>
      </c>
      <c r="T183" s="2" t="str">
        <f>TEXT(SalesData[[#This Row],[Order Date]],"mmm")</f>
        <v>May</v>
      </c>
      <c r="U183" s="2">
        <f>YEAR(SalesData[[#This Row],[Order Date]])</f>
        <v>2014</v>
      </c>
      <c r="V183" s="2" t="str">
        <f>IF(SalesData[[#This Row],[Profit]]&gt;0,"Profit","Loss")</f>
        <v>Profit</v>
      </c>
      <c r="W183" s="2" t="str">
        <f>IF(SalesData[[#This Row],[Profit]]&gt;100,"High Profit",
IF(SalesData[[#This Row],[Profit]]&gt;0,"Low Profit","Loss"))</f>
        <v>Low Profit</v>
      </c>
      <c r="X183" s="2" t="str">
        <f>IF(AND(SalesData[[#This Row],[Sales]]&gt;500,SalesData[[#This Row],[Profit]]&gt;0),"Good Order","Review")</f>
        <v>Review</v>
      </c>
      <c r="Y183" s="2"/>
      <c r="Z183" s="2"/>
      <c r="AA183" s="2"/>
      <c r="AB183" s="2"/>
    </row>
    <row r="184" spans="1:28" x14ac:dyDescent="0.3">
      <c r="A184" s="2">
        <v>183</v>
      </c>
      <c r="B184" s="2" t="s">
        <v>558</v>
      </c>
      <c r="C184" s="5">
        <v>41962</v>
      </c>
      <c r="D184" s="2" t="s">
        <v>20</v>
      </c>
      <c r="E184" s="2" t="s">
        <v>559</v>
      </c>
      <c r="F184" s="2" t="s">
        <v>560</v>
      </c>
      <c r="G184" s="2" t="s">
        <v>85</v>
      </c>
      <c r="H184" s="2" t="s">
        <v>24</v>
      </c>
      <c r="I184" s="2" t="s">
        <v>561</v>
      </c>
      <c r="J184" s="2" t="s">
        <v>562</v>
      </c>
      <c r="K184" s="2">
        <v>71203</v>
      </c>
      <c r="L184" s="2" t="s">
        <v>27</v>
      </c>
      <c r="M184" s="2" t="s">
        <v>563</v>
      </c>
      <c r="N184" s="2" t="s">
        <v>61</v>
      </c>
      <c r="O184" s="2" t="s">
        <v>62</v>
      </c>
      <c r="P184" s="4">
        <v>503.96</v>
      </c>
      <c r="Q184" s="2">
        <v>4</v>
      </c>
      <c r="R184" s="3">
        <v>0</v>
      </c>
      <c r="S184" s="4">
        <v>131.02959999999999</v>
      </c>
      <c r="T184" s="2" t="str">
        <f>TEXT(SalesData[[#This Row],[Order Date]],"mmm")</f>
        <v>Nov</v>
      </c>
      <c r="U184" s="2">
        <f>YEAR(SalesData[[#This Row],[Order Date]])</f>
        <v>2014</v>
      </c>
      <c r="V184" s="2" t="str">
        <f>IF(SalesData[[#This Row],[Profit]]&gt;0,"Profit","Loss")</f>
        <v>Profit</v>
      </c>
      <c r="W184" s="2" t="str">
        <f>IF(SalesData[[#This Row],[Profit]]&gt;100,"High Profit",
IF(SalesData[[#This Row],[Profit]]&gt;0,"Low Profit","Loss"))</f>
        <v>High Profit</v>
      </c>
      <c r="X184" s="2" t="str">
        <f>IF(AND(SalesData[[#This Row],[Sales]]&gt;500,SalesData[[#This Row],[Profit]]&gt;0),"Good Order","Review")</f>
        <v>Good Order</v>
      </c>
      <c r="Y184" s="2"/>
      <c r="Z184" s="2"/>
      <c r="AA184" s="2"/>
      <c r="AB184" s="2"/>
    </row>
    <row r="185" spans="1:28" x14ac:dyDescent="0.3">
      <c r="A185" s="2">
        <v>184</v>
      </c>
      <c r="B185" s="2" t="s">
        <v>558</v>
      </c>
      <c r="C185" s="5">
        <v>41962</v>
      </c>
      <c r="D185" s="2" t="s">
        <v>20</v>
      </c>
      <c r="E185" s="2" t="s">
        <v>559</v>
      </c>
      <c r="F185" s="2" t="s">
        <v>560</v>
      </c>
      <c r="G185" s="2" t="s">
        <v>85</v>
      </c>
      <c r="H185" s="2" t="s">
        <v>24</v>
      </c>
      <c r="I185" s="2" t="s">
        <v>561</v>
      </c>
      <c r="J185" s="2" t="s">
        <v>562</v>
      </c>
      <c r="K185" s="2">
        <v>71203</v>
      </c>
      <c r="L185" s="2" t="s">
        <v>27</v>
      </c>
      <c r="M185" s="2" t="s">
        <v>564</v>
      </c>
      <c r="N185" s="2" t="s">
        <v>61</v>
      </c>
      <c r="O185" s="2" t="s">
        <v>62</v>
      </c>
      <c r="P185" s="4">
        <v>149.94999999999999</v>
      </c>
      <c r="Q185" s="2">
        <v>5</v>
      </c>
      <c r="R185" s="3">
        <v>0</v>
      </c>
      <c r="S185" s="4">
        <v>41.985999999999997</v>
      </c>
      <c r="T185" s="2" t="str">
        <f>TEXT(SalesData[[#This Row],[Order Date]],"mmm")</f>
        <v>Nov</v>
      </c>
      <c r="U185" s="2">
        <f>YEAR(SalesData[[#This Row],[Order Date]])</f>
        <v>2014</v>
      </c>
      <c r="V185" s="2" t="str">
        <f>IF(SalesData[[#This Row],[Profit]]&gt;0,"Profit","Loss")</f>
        <v>Profit</v>
      </c>
      <c r="W185" s="2" t="str">
        <f>IF(SalesData[[#This Row],[Profit]]&gt;100,"High Profit",
IF(SalesData[[#This Row],[Profit]]&gt;0,"Low Profit","Loss"))</f>
        <v>Low Profit</v>
      </c>
      <c r="X185" s="2" t="str">
        <f>IF(AND(SalesData[[#This Row],[Sales]]&gt;500,SalesData[[#This Row],[Profit]]&gt;0),"Good Order","Review")</f>
        <v>Review</v>
      </c>
      <c r="Y185" s="2"/>
      <c r="Z185" s="2"/>
      <c r="AA185" s="2"/>
      <c r="AB185" s="2"/>
    </row>
    <row r="186" spans="1:28" x14ac:dyDescent="0.3">
      <c r="A186" s="2">
        <v>185</v>
      </c>
      <c r="B186" s="2" t="s">
        <v>558</v>
      </c>
      <c r="C186" s="5">
        <v>41962</v>
      </c>
      <c r="D186" s="2" t="s">
        <v>20</v>
      </c>
      <c r="E186" s="2" t="s">
        <v>559</v>
      </c>
      <c r="F186" s="2" t="s">
        <v>560</v>
      </c>
      <c r="G186" s="2" t="s">
        <v>85</v>
      </c>
      <c r="H186" s="2" t="s">
        <v>24</v>
      </c>
      <c r="I186" s="2" t="s">
        <v>561</v>
      </c>
      <c r="J186" s="2" t="s">
        <v>562</v>
      </c>
      <c r="K186" s="2">
        <v>71203</v>
      </c>
      <c r="L186" s="2" t="s">
        <v>27</v>
      </c>
      <c r="M186" s="2" t="s">
        <v>565</v>
      </c>
      <c r="N186" s="2" t="s">
        <v>61</v>
      </c>
      <c r="O186" s="2" t="s">
        <v>133</v>
      </c>
      <c r="P186" s="4">
        <v>29</v>
      </c>
      <c r="Q186" s="2">
        <v>2</v>
      </c>
      <c r="R186" s="3">
        <v>0</v>
      </c>
      <c r="S186" s="4">
        <v>7.25</v>
      </c>
      <c r="T186" s="2" t="str">
        <f>TEXT(SalesData[[#This Row],[Order Date]],"mmm")</f>
        <v>Nov</v>
      </c>
      <c r="U186" s="2">
        <f>YEAR(SalesData[[#This Row],[Order Date]])</f>
        <v>2014</v>
      </c>
      <c r="V186" s="2" t="str">
        <f>IF(SalesData[[#This Row],[Profit]]&gt;0,"Profit","Loss")</f>
        <v>Profit</v>
      </c>
      <c r="W186" s="2" t="str">
        <f>IF(SalesData[[#This Row],[Profit]]&gt;100,"High Profit",
IF(SalesData[[#This Row],[Profit]]&gt;0,"Low Profit","Loss"))</f>
        <v>Low Profit</v>
      </c>
      <c r="X186" s="2" t="str">
        <f>IF(AND(SalesData[[#This Row],[Sales]]&gt;500,SalesData[[#This Row],[Profit]]&gt;0),"Good Order","Review")</f>
        <v>Review</v>
      </c>
      <c r="Y186" s="2"/>
      <c r="Z186" s="2"/>
      <c r="AA186" s="2"/>
      <c r="AB186" s="2"/>
    </row>
    <row r="187" spans="1:28" x14ac:dyDescent="0.3">
      <c r="A187" s="2">
        <v>186</v>
      </c>
      <c r="B187" s="2" t="s">
        <v>566</v>
      </c>
      <c r="C187" s="5">
        <v>42702</v>
      </c>
      <c r="D187" s="2" t="s">
        <v>44</v>
      </c>
      <c r="E187" s="2" t="s">
        <v>567</v>
      </c>
      <c r="F187" s="2" t="s">
        <v>568</v>
      </c>
      <c r="G187" s="2" t="s">
        <v>23</v>
      </c>
      <c r="H187" s="2" t="s">
        <v>24</v>
      </c>
      <c r="I187" s="2" t="s">
        <v>569</v>
      </c>
      <c r="J187" s="2" t="s">
        <v>570</v>
      </c>
      <c r="K187" s="2">
        <v>6824</v>
      </c>
      <c r="L187" s="2" t="s">
        <v>122</v>
      </c>
      <c r="M187" s="2" t="s">
        <v>571</v>
      </c>
      <c r="N187" s="2" t="s">
        <v>41</v>
      </c>
      <c r="O187" s="2" t="s">
        <v>64</v>
      </c>
      <c r="P187" s="4">
        <v>7.16</v>
      </c>
      <c r="Q187" s="2">
        <v>2</v>
      </c>
      <c r="R187" s="3">
        <v>0</v>
      </c>
      <c r="S187" s="4">
        <v>3.4367999999999999</v>
      </c>
      <c r="T187" s="2" t="str">
        <f>TEXT(SalesData[[#This Row],[Order Date]],"mmm")</f>
        <v>Nov</v>
      </c>
      <c r="U187" s="2">
        <f>YEAR(SalesData[[#This Row],[Order Date]])</f>
        <v>2016</v>
      </c>
      <c r="V187" s="2" t="str">
        <f>IF(SalesData[[#This Row],[Profit]]&gt;0,"Profit","Loss")</f>
        <v>Profit</v>
      </c>
      <c r="W187" s="2" t="str">
        <f>IF(SalesData[[#This Row],[Profit]]&gt;100,"High Profit",
IF(SalesData[[#This Row],[Profit]]&gt;0,"Low Profit","Loss"))</f>
        <v>Low Profit</v>
      </c>
      <c r="X187" s="2" t="str">
        <f>IF(AND(SalesData[[#This Row],[Sales]]&gt;500,SalesData[[#This Row],[Profit]]&gt;0),"Good Order","Review")</f>
        <v>Review</v>
      </c>
      <c r="Y187" s="2"/>
      <c r="Z187" s="2"/>
      <c r="AA187" s="2"/>
      <c r="AB187" s="2"/>
    </row>
    <row r="188" spans="1:28" x14ac:dyDescent="0.3">
      <c r="A188" s="2">
        <v>187</v>
      </c>
      <c r="B188" s="2" t="s">
        <v>572</v>
      </c>
      <c r="C188" s="5">
        <v>41877</v>
      </c>
      <c r="D188" s="2" t="s">
        <v>44</v>
      </c>
      <c r="E188" s="2" t="s">
        <v>573</v>
      </c>
      <c r="F188" s="2" t="s">
        <v>574</v>
      </c>
      <c r="G188" s="2" t="s">
        <v>85</v>
      </c>
      <c r="H188" s="2" t="s">
        <v>24</v>
      </c>
      <c r="I188" s="2" t="s">
        <v>37</v>
      </c>
      <c r="J188" s="2" t="s">
        <v>38</v>
      </c>
      <c r="K188" s="2">
        <v>90032</v>
      </c>
      <c r="L188" s="2" t="s">
        <v>39</v>
      </c>
      <c r="M188" s="2" t="s">
        <v>575</v>
      </c>
      <c r="N188" s="2" t="s">
        <v>61</v>
      </c>
      <c r="O188" s="2" t="s">
        <v>133</v>
      </c>
      <c r="P188" s="4">
        <v>176.8</v>
      </c>
      <c r="Q188" s="2">
        <v>8</v>
      </c>
      <c r="R188" s="3">
        <v>0</v>
      </c>
      <c r="S188" s="4">
        <v>22.984000000000002</v>
      </c>
      <c r="T188" s="2" t="str">
        <f>TEXT(SalesData[[#This Row],[Order Date]],"mmm")</f>
        <v>Aug</v>
      </c>
      <c r="U188" s="2">
        <f>YEAR(SalesData[[#This Row],[Order Date]])</f>
        <v>2014</v>
      </c>
      <c r="V188" s="2" t="str">
        <f>IF(SalesData[[#This Row],[Profit]]&gt;0,"Profit","Loss")</f>
        <v>Profit</v>
      </c>
      <c r="W188" s="2" t="str">
        <f>IF(SalesData[[#This Row],[Profit]]&gt;100,"High Profit",
IF(SalesData[[#This Row],[Profit]]&gt;0,"Low Profit","Loss"))</f>
        <v>Low Profit</v>
      </c>
      <c r="X188" s="2" t="str">
        <f>IF(AND(SalesData[[#This Row],[Sales]]&gt;500,SalesData[[#This Row],[Profit]]&gt;0),"Good Order","Review")</f>
        <v>Review</v>
      </c>
      <c r="Y188" s="2"/>
      <c r="Z188" s="2"/>
      <c r="AA188" s="2"/>
      <c r="AB188" s="2"/>
    </row>
    <row r="189" spans="1:28" x14ac:dyDescent="0.3">
      <c r="A189" s="2">
        <v>188</v>
      </c>
      <c r="B189" s="2" t="s">
        <v>576</v>
      </c>
      <c r="C189" s="5">
        <v>42567</v>
      </c>
      <c r="D189" s="2" t="s">
        <v>44</v>
      </c>
      <c r="E189" s="2" t="s">
        <v>577</v>
      </c>
      <c r="F189" s="2" t="s">
        <v>578</v>
      </c>
      <c r="G189" s="2" t="s">
        <v>36</v>
      </c>
      <c r="H189" s="2" t="s">
        <v>24</v>
      </c>
      <c r="I189" s="2" t="s">
        <v>579</v>
      </c>
      <c r="J189" s="2" t="s">
        <v>87</v>
      </c>
      <c r="K189" s="2">
        <v>75051</v>
      </c>
      <c r="L189" s="2" t="s">
        <v>88</v>
      </c>
      <c r="M189" s="2" t="s">
        <v>580</v>
      </c>
      <c r="N189" s="2" t="s">
        <v>41</v>
      </c>
      <c r="O189" s="2" t="s">
        <v>52</v>
      </c>
      <c r="P189" s="4">
        <v>37.223999999999997</v>
      </c>
      <c r="Q189" s="2">
        <v>3</v>
      </c>
      <c r="R189" s="3">
        <v>0.2</v>
      </c>
      <c r="S189" s="4">
        <v>3.7223999999999999</v>
      </c>
      <c r="T189" s="2" t="str">
        <f>TEXT(SalesData[[#This Row],[Order Date]],"mmm")</f>
        <v>Jul</v>
      </c>
      <c r="U189" s="2">
        <f>YEAR(SalesData[[#This Row],[Order Date]])</f>
        <v>2016</v>
      </c>
      <c r="V189" s="2" t="str">
        <f>IF(SalesData[[#This Row],[Profit]]&gt;0,"Profit","Loss")</f>
        <v>Profit</v>
      </c>
      <c r="W189" s="2" t="str">
        <f>IF(SalesData[[#This Row],[Profit]]&gt;100,"High Profit",
IF(SalesData[[#This Row],[Profit]]&gt;0,"Low Profit","Loss"))</f>
        <v>Low Profit</v>
      </c>
      <c r="X189" s="2" t="str">
        <f>IF(AND(SalesData[[#This Row],[Sales]]&gt;500,SalesData[[#This Row],[Profit]]&gt;0),"Good Order","Review")</f>
        <v>Review</v>
      </c>
      <c r="Y189" s="2"/>
      <c r="Z189" s="2"/>
      <c r="AA189" s="2"/>
      <c r="AB189" s="2"/>
    </row>
    <row r="190" spans="1:28" x14ac:dyDescent="0.3">
      <c r="A190" s="2">
        <v>189</v>
      </c>
      <c r="B190" s="2" t="s">
        <v>576</v>
      </c>
      <c r="C190" s="5">
        <v>42567</v>
      </c>
      <c r="D190" s="2" t="s">
        <v>44</v>
      </c>
      <c r="E190" s="2" t="s">
        <v>577</v>
      </c>
      <c r="F190" s="2" t="s">
        <v>578</v>
      </c>
      <c r="G190" s="2" t="s">
        <v>36</v>
      </c>
      <c r="H190" s="2" t="s">
        <v>24</v>
      </c>
      <c r="I190" s="2" t="s">
        <v>579</v>
      </c>
      <c r="J190" s="2" t="s">
        <v>87</v>
      </c>
      <c r="K190" s="2">
        <v>75051</v>
      </c>
      <c r="L190" s="2" t="s">
        <v>88</v>
      </c>
      <c r="M190" s="2" t="s">
        <v>484</v>
      </c>
      <c r="N190" s="2" t="s">
        <v>41</v>
      </c>
      <c r="O190" s="2" t="s">
        <v>75</v>
      </c>
      <c r="P190" s="4">
        <v>20.015999999999998</v>
      </c>
      <c r="Q190" s="2">
        <v>3</v>
      </c>
      <c r="R190" s="3">
        <v>0.2</v>
      </c>
      <c r="S190" s="4">
        <v>6.2549999999999999</v>
      </c>
      <c r="T190" s="2" t="str">
        <f>TEXT(SalesData[[#This Row],[Order Date]],"mmm")</f>
        <v>Jul</v>
      </c>
      <c r="U190" s="2">
        <f>YEAR(SalesData[[#This Row],[Order Date]])</f>
        <v>2016</v>
      </c>
      <c r="V190" s="2" t="str">
        <f>IF(SalesData[[#This Row],[Profit]]&gt;0,"Profit","Loss")</f>
        <v>Profit</v>
      </c>
      <c r="W190" s="2" t="str">
        <f>IF(SalesData[[#This Row],[Profit]]&gt;100,"High Profit",
IF(SalesData[[#This Row],[Profit]]&gt;0,"Low Profit","Loss"))</f>
        <v>Low Profit</v>
      </c>
      <c r="X190" s="2" t="str">
        <f>IF(AND(SalesData[[#This Row],[Sales]]&gt;500,SalesData[[#This Row],[Profit]]&gt;0),"Good Order","Review")</f>
        <v>Review</v>
      </c>
      <c r="Y190" s="2"/>
      <c r="Z190" s="2"/>
      <c r="AA190" s="2"/>
      <c r="AB190" s="2"/>
    </row>
    <row r="191" spans="1:28" x14ac:dyDescent="0.3">
      <c r="A191" s="2">
        <v>190</v>
      </c>
      <c r="B191" s="2" t="s">
        <v>581</v>
      </c>
      <c r="C191" s="5">
        <v>42348</v>
      </c>
      <c r="D191" s="2" t="s">
        <v>151</v>
      </c>
      <c r="E191" s="2" t="s">
        <v>582</v>
      </c>
      <c r="F191" s="2" t="s">
        <v>583</v>
      </c>
      <c r="G191" s="2" t="s">
        <v>85</v>
      </c>
      <c r="H191" s="2" t="s">
        <v>24</v>
      </c>
      <c r="I191" s="2" t="s">
        <v>211</v>
      </c>
      <c r="J191" s="2" t="s">
        <v>212</v>
      </c>
      <c r="K191" s="2">
        <v>10035</v>
      </c>
      <c r="L191" s="2" t="s">
        <v>122</v>
      </c>
      <c r="M191" s="2" t="s">
        <v>584</v>
      </c>
      <c r="N191" s="2" t="s">
        <v>29</v>
      </c>
      <c r="O191" s="2" t="s">
        <v>30</v>
      </c>
      <c r="P191" s="4">
        <v>899.13599999999997</v>
      </c>
      <c r="Q191" s="2">
        <v>4</v>
      </c>
      <c r="R191" s="3">
        <v>0.2</v>
      </c>
      <c r="S191" s="4">
        <v>112.392</v>
      </c>
      <c r="T191" s="2" t="str">
        <f>TEXT(SalesData[[#This Row],[Order Date]],"mmm")</f>
        <v>Dec</v>
      </c>
      <c r="U191" s="2">
        <f>YEAR(SalesData[[#This Row],[Order Date]])</f>
        <v>2015</v>
      </c>
      <c r="V191" s="2" t="str">
        <f>IF(SalesData[[#This Row],[Profit]]&gt;0,"Profit","Loss")</f>
        <v>Profit</v>
      </c>
      <c r="W191" s="2" t="str">
        <f>IF(SalesData[[#This Row],[Profit]]&gt;100,"High Profit",
IF(SalesData[[#This Row],[Profit]]&gt;0,"Low Profit","Loss"))</f>
        <v>High Profit</v>
      </c>
      <c r="X191" s="2" t="str">
        <f>IF(AND(SalesData[[#This Row],[Sales]]&gt;500,SalesData[[#This Row],[Profit]]&gt;0),"Good Order","Review")</f>
        <v>Good Order</v>
      </c>
      <c r="Y191" s="2"/>
      <c r="Z191" s="2"/>
      <c r="AA191" s="2"/>
      <c r="AB191" s="2"/>
    </row>
    <row r="192" spans="1:28" x14ac:dyDescent="0.3">
      <c r="A192" s="2">
        <v>191</v>
      </c>
      <c r="B192" s="2" t="s">
        <v>581</v>
      </c>
      <c r="C192" s="5">
        <v>42348</v>
      </c>
      <c r="D192" s="2" t="s">
        <v>151</v>
      </c>
      <c r="E192" s="2" t="s">
        <v>582</v>
      </c>
      <c r="F192" s="2" t="s">
        <v>583</v>
      </c>
      <c r="G192" s="2" t="s">
        <v>85</v>
      </c>
      <c r="H192" s="2" t="s">
        <v>24</v>
      </c>
      <c r="I192" s="2" t="s">
        <v>211</v>
      </c>
      <c r="J192" s="2" t="s">
        <v>212</v>
      </c>
      <c r="K192" s="2">
        <v>10035</v>
      </c>
      <c r="L192" s="2" t="s">
        <v>122</v>
      </c>
      <c r="M192" s="2" t="s">
        <v>585</v>
      </c>
      <c r="N192" s="2" t="s">
        <v>61</v>
      </c>
      <c r="O192" s="2" t="s">
        <v>62</v>
      </c>
      <c r="P192" s="4">
        <v>71.760000000000005</v>
      </c>
      <c r="Q192" s="2">
        <v>6</v>
      </c>
      <c r="R192" s="3">
        <v>0</v>
      </c>
      <c r="S192" s="4">
        <v>20.0928</v>
      </c>
      <c r="T192" s="2" t="str">
        <f>TEXT(SalesData[[#This Row],[Order Date]],"mmm")</f>
        <v>Dec</v>
      </c>
      <c r="U192" s="2">
        <f>YEAR(SalesData[[#This Row],[Order Date]])</f>
        <v>2015</v>
      </c>
      <c r="V192" s="2" t="str">
        <f>IF(SalesData[[#This Row],[Profit]]&gt;0,"Profit","Loss")</f>
        <v>Profit</v>
      </c>
      <c r="W192" s="2" t="str">
        <f>IF(SalesData[[#This Row],[Profit]]&gt;100,"High Profit",
IF(SalesData[[#This Row],[Profit]]&gt;0,"Low Profit","Loss"))</f>
        <v>Low Profit</v>
      </c>
      <c r="X192" s="2" t="str">
        <f>IF(AND(SalesData[[#This Row],[Sales]]&gt;500,SalesData[[#This Row],[Profit]]&gt;0),"Good Order","Review")</f>
        <v>Review</v>
      </c>
      <c r="Y192" s="2"/>
      <c r="Z192" s="2"/>
      <c r="AA192" s="2"/>
      <c r="AB192" s="2"/>
    </row>
    <row r="193" spans="1:28" x14ac:dyDescent="0.3">
      <c r="A193" s="2">
        <v>192</v>
      </c>
      <c r="B193" s="2" t="s">
        <v>581</v>
      </c>
      <c r="C193" s="5">
        <v>42348</v>
      </c>
      <c r="D193" s="2" t="s">
        <v>151</v>
      </c>
      <c r="E193" s="2" t="s">
        <v>582</v>
      </c>
      <c r="F193" s="2" t="s">
        <v>583</v>
      </c>
      <c r="G193" s="2" t="s">
        <v>85</v>
      </c>
      <c r="H193" s="2" t="s">
        <v>24</v>
      </c>
      <c r="I193" s="2" t="s">
        <v>211</v>
      </c>
      <c r="J193" s="2" t="s">
        <v>212</v>
      </c>
      <c r="K193" s="2">
        <v>10035</v>
      </c>
      <c r="L193" s="2" t="s">
        <v>122</v>
      </c>
      <c r="M193" s="2" t="s">
        <v>586</v>
      </c>
      <c r="N193" s="2" t="s">
        <v>41</v>
      </c>
      <c r="O193" s="2" t="s">
        <v>75</v>
      </c>
      <c r="P193" s="4">
        <v>51.84</v>
      </c>
      <c r="Q193" s="2">
        <v>8</v>
      </c>
      <c r="R193" s="3">
        <v>0</v>
      </c>
      <c r="S193" s="4">
        <v>24.883199999999999</v>
      </c>
      <c r="T193" s="2" t="str">
        <f>TEXT(SalesData[[#This Row],[Order Date]],"mmm")</f>
        <v>Dec</v>
      </c>
      <c r="U193" s="2">
        <f>YEAR(SalesData[[#This Row],[Order Date]])</f>
        <v>2015</v>
      </c>
      <c r="V193" s="2" t="str">
        <f>IF(SalesData[[#This Row],[Profit]]&gt;0,"Profit","Loss")</f>
        <v>Profit</v>
      </c>
      <c r="W193" s="2" t="str">
        <f>IF(SalesData[[#This Row],[Profit]]&gt;100,"High Profit",
IF(SalesData[[#This Row],[Profit]]&gt;0,"Low Profit","Loss"))</f>
        <v>Low Profit</v>
      </c>
      <c r="X193" s="2" t="str">
        <f>IF(AND(SalesData[[#This Row],[Sales]]&gt;500,SalesData[[#This Row],[Profit]]&gt;0),"Good Order","Review")</f>
        <v>Review</v>
      </c>
      <c r="Y193" s="2"/>
      <c r="Z193" s="2"/>
      <c r="AA193" s="2"/>
      <c r="AB193" s="2"/>
    </row>
    <row r="194" spans="1:28" x14ac:dyDescent="0.3">
      <c r="A194" s="2">
        <v>193</v>
      </c>
      <c r="B194" s="2" t="s">
        <v>581</v>
      </c>
      <c r="C194" s="5">
        <v>42348</v>
      </c>
      <c r="D194" s="2" t="s">
        <v>151</v>
      </c>
      <c r="E194" s="2" t="s">
        <v>582</v>
      </c>
      <c r="F194" s="2" t="s">
        <v>583</v>
      </c>
      <c r="G194" s="2" t="s">
        <v>85</v>
      </c>
      <c r="H194" s="2" t="s">
        <v>24</v>
      </c>
      <c r="I194" s="2" t="s">
        <v>211</v>
      </c>
      <c r="J194" s="2" t="s">
        <v>212</v>
      </c>
      <c r="K194" s="2">
        <v>10035</v>
      </c>
      <c r="L194" s="2" t="s">
        <v>122</v>
      </c>
      <c r="M194" s="2" t="s">
        <v>161</v>
      </c>
      <c r="N194" s="2" t="s">
        <v>29</v>
      </c>
      <c r="O194" s="2" t="s">
        <v>30</v>
      </c>
      <c r="P194" s="4">
        <v>626.35199999999998</v>
      </c>
      <c r="Q194" s="2">
        <v>3</v>
      </c>
      <c r="R194" s="3">
        <v>0.2</v>
      </c>
      <c r="S194" s="4">
        <v>46.976399999999998</v>
      </c>
      <c r="T194" s="2" t="str">
        <f>TEXT(SalesData[[#This Row],[Order Date]],"mmm")</f>
        <v>Dec</v>
      </c>
      <c r="U194" s="2">
        <f>YEAR(SalesData[[#This Row],[Order Date]])</f>
        <v>2015</v>
      </c>
      <c r="V194" s="2" t="str">
        <f>IF(SalesData[[#This Row],[Profit]]&gt;0,"Profit","Loss")</f>
        <v>Profit</v>
      </c>
      <c r="W194" s="2" t="str">
        <f>IF(SalesData[[#This Row],[Profit]]&gt;100,"High Profit",
IF(SalesData[[#This Row],[Profit]]&gt;0,"Low Profit","Loss"))</f>
        <v>Low Profit</v>
      </c>
      <c r="X194" s="2" t="str">
        <f>IF(AND(SalesData[[#This Row],[Sales]]&gt;500,SalesData[[#This Row],[Profit]]&gt;0),"Good Order","Review")</f>
        <v>Good Order</v>
      </c>
      <c r="Y194" s="2"/>
      <c r="Z194" s="2"/>
      <c r="AA194" s="2"/>
      <c r="AB194" s="2"/>
    </row>
    <row r="195" spans="1:28" x14ac:dyDescent="0.3">
      <c r="A195" s="2">
        <v>194</v>
      </c>
      <c r="B195" s="2" t="s">
        <v>581</v>
      </c>
      <c r="C195" s="5">
        <v>42348</v>
      </c>
      <c r="D195" s="2" t="s">
        <v>151</v>
      </c>
      <c r="E195" s="2" t="s">
        <v>582</v>
      </c>
      <c r="F195" s="2" t="s">
        <v>583</v>
      </c>
      <c r="G195" s="2" t="s">
        <v>85</v>
      </c>
      <c r="H195" s="2" t="s">
        <v>24</v>
      </c>
      <c r="I195" s="2" t="s">
        <v>211</v>
      </c>
      <c r="J195" s="2" t="s">
        <v>212</v>
      </c>
      <c r="K195" s="2">
        <v>10035</v>
      </c>
      <c r="L195" s="2" t="s">
        <v>122</v>
      </c>
      <c r="M195" s="2" t="s">
        <v>587</v>
      </c>
      <c r="N195" s="2" t="s">
        <v>41</v>
      </c>
      <c r="O195" s="2" t="s">
        <v>59</v>
      </c>
      <c r="P195" s="4">
        <v>19.899999999999999</v>
      </c>
      <c r="Q195" s="2">
        <v>5</v>
      </c>
      <c r="R195" s="3">
        <v>0</v>
      </c>
      <c r="S195" s="4">
        <v>6.5670000000000002</v>
      </c>
      <c r="T195" s="2" t="str">
        <f>TEXT(SalesData[[#This Row],[Order Date]],"mmm")</f>
        <v>Dec</v>
      </c>
      <c r="U195" s="2">
        <f>YEAR(SalesData[[#This Row],[Order Date]])</f>
        <v>2015</v>
      </c>
      <c r="V195" s="2" t="str">
        <f>IF(SalesData[[#This Row],[Profit]]&gt;0,"Profit","Loss")</f>
        <v>Profit</v>
      </c>
      <c r="W195" s="2" t="str">
        <f>IF(SalesData[[#This Row],[Profit]]&gt;100,"High Profit",
IF(SalesData[[#This Row],[Profit]]&gt;0,"Low Profit","Loss"))</f>
        <v>Low Profit</v>
      </c>
      <c r="X195" s="2" t="str">
        <f>IF(AND(SalesData[[#This Row],[Sales]]&gt;500,SalesData[[#This Row],[Profit]]&gt;0),"Good Order","Review")</f>
        <v>Review</v>
      </c>
      <c r="Y195" s="2"/>
      <c r="Z195" s="2"/>
      <c r="AA195" s="2"/>
      <c r="AB195" s="2"/>
    </row>
    <row r="196" spans="1:28" x14ac:dyDescent="0.3">
      <c r="A196" s="2">
        <v>195</v>
      </c>
      <c r="B196" s="2" t="s">
        <v>588</v>
      </c>
      <c r="C196" s="5">
        <v>42308</v>
      </c>
      <c r="D196" s="2" t="s">
        <v>44</v>
      </c>
      <c r="E196" s="2" t="s">
        <v>589</v>
      </c>
      <c r="F196" s="2" t="s">
        <v>590</v>
      </c>
      <c r="G196" s="2" t="s">
        <v>36</v>
      </c>
      <c r="H196" s="2" t="s">
        <v>24</v>
      </c>
      <c r="I196" s="2" t="s">
        <v>591</v>
      </c>
      <c r="J196" s="2" t="s">
        <v>38</v>
      </c>
      <c r="K196" s="2">
        <v>92374</v>
      </c>
      <c r="L196" s="2" t="s">
        <v>39</v>
      </c>
      <c r="M196" s="2" t="s">
        <v>140</v>
      </c>
      <c r="N196" s="2" t="s">
        <v>41</v>
      </c>
      <c r="O196" s="2" t="s">
        <v>141</v>
      </c>
      <c r="P196" s="4">
        <v>14.28</v>
      </c>
      <c r="Q196" s="2">
        <v>7</v>
      </c>
      <c r="R196" s="3">
        <v>0</v>
      </c>
      <c r="S196" s="4">
        <v>6.7115999999999998</v>
      </c>
      <c r="T196" s="2" t="str">
        <f>TEXT(SalesData[[#This Row],[Order Date]],"mmm")</f>
        <v>Oct</v>
      </c>
      <c r="U196" s="2">
        <f>YEAR(SalesData[[#This Row],[Order Date]])</f>
        <v>2015</v>
      </c>
      <c r="V196" s="2" t="str">
        <f>IF(SalesData[[#This Row],[Profit]]&gt;0,"Profit","Loss")</f>
        <v>Profit</v>
      </c>
      <c r="W196" s="2" t="str">
        <f>IF(SalesData[[#This Row],[Profit]]&gt;100,"High Profit",
IF(SalesData[[#This Row],[Profit]]&gt;0,"Low Profit","Loss"))</f>
        <v>Low Profit</v>
      </c>
      <c r="X196" s="2" t="str">
        <f>IF(AND(SalesData[[#This Row],[Sales]]&gt;500,SalesData[[#This Row],[Profit]]&gt;0),"Good Order","Review")</f>
        <v>Review</v>
      </c>
      <c r="Y196" s="2"/>
      <c r="Z196" s="2"/>
      <c r="AA196" s="2"/>
      <c r="AB196" s="2"/>
    </row>
    <row r="197" spans="1:28" x14ac:dyDescent="0.3">
      <c r="A197" s="2">
        <v>196</v>
      </c>
      <c r="B197" s="2" t="s">
        <v>592</v>
      </c>
      <c r="C197" s="5">
        <v>41719</v>
      </c>
      <c r="D197" s="2" t="s">
        <v>44</v>
      </c>
      <c r="E197" s="2" t="s">
        <v>593</v>
      </c>
      <c r="F197" s="2" t="s">
        <v>594</v>
      </c>
      <c r="G197" s="2" t="s">
        <v>23</v>
      </c>
      <c r="H197" s="2" t="s">
        <v>24</v>
      </c>
      <c r="I197" s="2" t="s">
        <v>595</v>
      </c>
      <c r="J197" s="2" t="s">
        <v>385</v>
      </c>
      <c r="K197" s="2">
        <v>45011</v>
      </c>
      <c r="L197" s="2" t="s">
        <v>122</v>
      </c>
      <c r="M197" s="2" t="s">
        <v>596</v>
      </c>
      <c r="N197" s="2" t="s">
        <v>41</v>
      </c>
      <c r="O197" s="2" t="s">
        <v>59</v>
      </c>
      <c r="P197" s="4">
        <v>7.4080000000000004</v>
      </c>
      <c r="Q197" s="2">
        <v>2</v>
      </c>
      <c r="R197" s="3">
        <v>0.2</v>
      </c>
      <c r="S197" s="4">
        <v>1.2038</v>
      </c>
      <c r="T197" s="2" t="str">
        <f>TEXT(SalesData[[#This Row],[Order Date]],"mmm")</f>
        <v>Mar</v>
      </c>
      <c r="U197" s="2">
        <f>YEAR(SalesData[[#This Row],[Order Date]])</f>
        <v>2014</v>
      </c>
      <c r="V197" s="2" t="str">
        <f>IF(SalesData[[#This Row],[Profit]]&gt;0,"Profit","Loss")</f>
        <v>Profit</v>
      </c>
      <c r="W197" s="2" t="str">
        <f>IF(SalesData[[#This Row],[Profit]]&gt;100,"High Profit",
IF(SalesData[[#This Row],[Profit]]&gt;0,"Low Profit","Loss"))</f>
        <v>Low Profit</v>
      </c>
      <c r="X197" s="2" t="str">
        <f>IF(AND(SalesData[[#This Row],[Sales]]&gt;500,SalesData[[#This Row],[Profit]]&gt;0),"Good Order","Review")</f>
        <v>Review</v>
      </c>
      <c r="Y197" s="2"/>
      <c r="Z197" s="2"/>
      <c r="AA197" s="2"/>
      <c r="AB197" s="2"/>
    </row>
    <row r="198" spans="1:28" x14ac:dyDescent="0.3">
      <c r="A198" s="2">
        <v>197</v>
      </c>
      <c r="B198" s="2" t="s">
        <v>592</v>
      </c>
      <c r="C198" s="5">
        <v>41719</v>
      </c>
      <c r="D198" s="2" t="s">
        <v>44</v>
      </c>
      <c r="E198" s="2" t="s">
        <v>593</v>
      </c>
      <c r="F198" s="2" t="s">
        <v>594</v>
      </c>
      <c r="G198" s="2" t="s">
        <v>23</v>
      </c>
      <c r="H198" s="2" t="s">
        <v>24</v>
      </c>
      <c r="I198" s="2" t="s">
        <v>595</v>
      </c>
      <c r="J198" s="2" t="s">
        <v>385</v>
      </c>
      <c r="K198" s="2">
        <v>45011</v>
      </c>
      <c r="L198" s="2" t="s">
        <v>122</v>
      </c>
      <c r="M198" s="2" t="s">
        <v>597</v>
      </c>
      <c r="N198" s="2" t="s">
        <v>41</v>
      </c>
      <c r="O198" s="2" t="s">
        <v>59</v>
      </c>
      <c r="P198" s="4">
        <v>6.048</v>
      </c>
      <c r="Q198" s="2">
        <v>3</v>
      </c>
      <c r="R198" s="3">
        <v>0.2</v>
      </c>
      <c r="S198" s="4">
        <v>1.5875999999999999</v>
      </c>
      <c r="T198" s="2" t="str">
        <f>TEXT(SalesData[[#This Row],[Order Date]],"mmm")</f>
        <v>Mar</v>
      </c>
      <c r="U198" s="2">
        <f>YEAR(SalesData[[#This Row],[Order Date]])</f>
        <v>2014</v>
      </c>
      <c r="V198" s="2" t="str">
        <f>IF(SalesData[[#This Row],[Profit]]&gt;0,"Profit","Loss")</f>
        <v>Profit</v>
      </c>
      <c r="W198" s="2" t="str">
        <f>IF(SalesData[[#This Row],[Profit]]&gt;100,"High Profit",
IF(SalesData[[#This Row],[Profit]]&gt;0,"Low Profit","Loss"))</f>
        <v>Low Profit</v>
      </c>
      <c r="X198" s="2" t="str">
        <f>IF(AND(SalesData[[#This Row],[Sales]]&gt;500,SalesData[[#This Row],[Profit]]&gt;0),"Good Order","Review")</f>
        <v>Review</v>
      </c>
      <c r="Y198" s="2"/>
      <c r="Z198" s="2"/>
      <c r="AA198" s="2"/>
      <c r="AB198" s="2"/>
    </row>
    <row r="199" spans="1:28" x14ac:dyDescent="0.3">
      <c r="A199" s="2">
        <v>198</v>
      </c>
      <c r="B199" s="2" t="s">
        <v>598</v>
      </c>
      <c r="C199" s="5">
        <v>42897</v>
      </c>
      <c r="D199" s="2" t="s">
        <v>44</v>
      </c>
      <c r="E199" s="2" t="s">
        <v>599</v>
      </c>
      <c r="F199" s="2" t="s">
        <v>600</v>
      </c>
      <c r="G199" s="2" t="s">
        <v>85</v>
      </c>
      <c r="H199" s="2" t="s">
        <v>24</v>
      </c>
      <c r="I199" s="2" t="s">
        <v>601</v>
      </c>
      <c r="J199" s="2" t="s">
        <v>602</v>
      </c>
      <c r="K199" s="2">
        <v>7090</v>
      </c>
      <c r="L199" s="2" t="s">
        <v>122</v>
      </c>
      <c r="M199" s="2" t="s">
        <v>603</v>
      </c>
      <c r="N199" s="2" t="s">
        <v>41</v>
      </c>
      <c r="O199" s="2" t="s">
        <v>52</v>
      </c>
      <c r="P199" s="4">
        <v>46.26</v>
      </c>
      <c r="Q199" s="2">
        <v>3</v>
      </c>
      <c r="R199" s="3">
        <v>0</v>
      </c>
      <c r="S199" s="4">
        <v>12.0276</v>
      </c>
      <c r="T199" s="2" t="str">
        <f>TEXT(SalesData[[#This Row],[Order Date]],"mmm")</f>
        <v>Jun</v>
      </c>
      <c r="U199" s="2">
        <f>YEAR(SalesData[[#This Row],[Order Date]])</f>
        <v>2017</v>
      </c>
      <c r="V199" s="2" t="str">
        <f>IF(SalesData[[#This Row],[Profit]]&gt;0,"Profit","Loss")</f>
        <v>Profit</v>
      </c>
      <c r="W199" s="2" t="str">
        <f>IF(SalesData[[#This Row],[Profit]]&gt;100,"High Profit",
IF(SalesData[[#This Row],[Profit]]&gt;0,"Low Profit","Loss"))</f>
        <v>Low Profit</v>
      </c>
      <c r="X199" s="2" t="str">
        <f>IF(AND(SalesData[[#This Row],[Sales]]&gt;500,SalesData[[#This Row],[Profit]]&gt;0),"Good Order","Review")</f>
        <v>Review</v>
      </c>
      <c r="Y199" s="2"/>
      <c r="Z199" s="2"/>
      <c r="AA199" s="2"/>
      <c r="AB199" s="2"/>
    </row>
    <row r="200" spans="1:28" x14ac:dyDescent="0.3">
      <c r="A200" s="2">
        <v>199</v>
      </c>
      <c r="B200" s="2" t="s">
        <v>604</v>
      </c>
      <c r="C200" s="5">
        <v>42893</v>
      </c>
      <c r="D200" s="2" t="s">
        <v>44</v>
      </c>
      <c r="E200" s="2" t="s">
        <v>605</v>
      </c>
      <c r="F200" s="2" t="s">
        <v>606</v>
      </c>
      <c r="G200" s="2" t="s">
        <v>36</v>
      </c>
      <c r="H200" s="2" t="s">
        <v>24</v>
      </c>
      <c r="I200" s="2" t="s">
        <v>120</v>
      </c>
      <c r="J200" s="2" t="s">
        <v>121</v>
      </c>
      <c r="K200" s="2">
        <v>19120</v>
      </c>
      <c r="L200" s="2" t="s">
        <v>122</v>
      </c>
      <c r="M200" s="2" t="s">
        <v>607</v>
      </c>
      <c r="N200" s="2" t="s">
        <v>41</v>
      </c>
      <c r="O200" s="2" t="s">
        <v>64</v>
      </c>
      <c r="P200" s="4">
        <v>2.9460000000000002</v>
      </c>
      <c r="Q200" s="2">
        <v>2</v>
      </c>
      <c r="R200" s="3">
        <v>0.7</v>
      </c>
      <c r="S200" s="4">
        <v>-2.2585999999999999</v>
      </c>
      <c r="T200" s="2" t="str">
        <f>TEXT(SalesData[[#This Row],[Order Date]],"mmm")</f>
        <v>Jun</v>
      </c>
      <c r="U200" s="2">
        <f>YEAR(SalesData[[#This Row],[Order Date]])</f>
        <v>2017</v>
      </c>
      <c r="V200" s="2" t="str">
        <f>IF(SalesData[[#This Row],[Profit]]&gt;0,"Profit","Loss")</f>
        <v>Loss</v>
      </c>
      <c r="W200" s="2" t="str">
        <f>IF(SalesData[[#This Row],[Profit]]&gt;100,"High Profit",
IF(SalesData[[#This Row],[Profit]]&gt;0,"Low Profit","Loss"))</f>
        <v>Loss</v>
      </c>
      <c r="X200" s="2" t="str">
        <f>IF(AND(SalesData[[#This Row],[Sales]]&gt;500,SalesData[[#This Row],[Profit]]&gt;0),"Good Order","Review")</f>
        <v>Review</v>
      </c>
      <c r="Y200" s="2"/>
      <c r="Z200" s="2"/>
      <c r="AA200" s="2"/>
      <c r="AB200" s="2"/>
    </row>
    <row r="201" spans="1:28" x14ac:dyDescent="0.3">
      <c r="A201" s="2">
        <v>200</v>
      </c>
      <c r="B201" s="2" t="s">
        <v>604</v>
      </c>
      <c r="C201" s="5">
        <v>42893</v>
      </c>
      <c r="D201" s="2" t="s">
        <v>44</v>
      </c>
      <c r="E201" s="2" t="s">
        <v>605</v>
      </c>
      <c r="F201" s="2" t="s">
        <v>606</v>
      </c>
      <c r="G201" s="2" t="s">
        <v>36</v>
      </c>
      <c r="H201" s="2" t="s">
        <v>24</v>
      </c>
      <c r="I201" s="2" t="s">
        <v>120</v>
      </c>
      <c r="J201" s="2" t="s">
        <v>121</v>
      </c>
      <c r="K201" s="2">
        <v>19120</v>
      </c>
      <c r="L201" s="2" t="s">
        <v>122</v>
      </c>
      <c r="M201" s="2" t="s">
        <v>608</v>
      </c>
      <c r="N201" s="2" t="s">
        <v>41</v>
      </c>
      <c r="O201" s="2" t="s">
        <v>75</v>
      </c>
      <c r="P201" s="4">
        <v>16.056000000000001</v>
      </c>
      <c r="Q201" s="2">
        <v>3</v>
      </c>
      <c r="R201" s="3">
        <v>0.2</v>
      </c>
      <c r="S201" s="4">
        <v>5.8202999999999996</v>
      </c>
      <c r="T201" s="2" t="str">
        <f>TEXT(SalesData[[#This Row],[Order Date]],"mmm")</f>
        <v>Jun</v>
      </c>
      <c r="U201" s="2">
        <f>YEAR(SalesData[[#This Row],[Order Date]])</f>
        <v>2017</v>
      </c>
      <c r="V201" s="2" t="str">
        <f>IF(SalesData[[#This Row],[Profit]]&gt;0,"Profit","Loss")</f>
        <v>Profit</v>
      </c>
      <c r="W201" s="2" t="str">
        <f>IF(SalesData[[#This Row],[Profit]]&gt;100,"High Profit",
IF(SalesData[[#This Row],[Profit]]&gt;0,"Low Profit","Loss"))</f>
        <v>Low Profit</v>
      </c>
      <c r="X201" s="2" t="str">
        <f>IF(AND(SalesData[[#This Row],[Sales]]&gt;500,SalesData[[#This Row],[Profit]]&gt;0),"Good Order","Review")</f>
        <v>Review</v>
      </c>
      <c r="Y201" s="2"/>
      <c r="Z201" s="2"/>
      <c r="AA201" s="2"/>
      <c r="AB201" s="2"/>
    </row>
    <row r="202" spans="1:28" x14ac:dyDescent="0.3">
      <c r="A202" s="2">
        <v>201</v>
      </c>
      <c r="B202" s="2" t="s">
        <v>609</v>
      </c>
      <c r="C202" s="5">
        <v>42910</v>
      </c>
      <c r="D202" s="2" t="s">
        <v>44</v>
      </c>
      <c r="E202" s="2" t="s">
        <v>610</v>
      </c>
      <c r="F202" s="2" t="s">
        <v>611</v>
      </c>
      <c r="G202" s="2" t="s">
        <v>23</v>
      </c>
      <c r="H202" s="2" t="s">
        <v>24</v>
      </c>
      <c r="I202" s="2" t="s">
        <v>612</v>
      </c>
      <c r="J202" s="2" t="s">
        <v>385</v>
      </c>
      <c r="K202" s="2">
        <v>44312</v>
      </c>
      <c r="L202" s="2" t="s">
        <v>122</v>
      </c>
      <c r="M202" s="2" t="s">
        <v>613</v>
      </c>
      <c r="N202" s="2" t="s">
        <v>41</v>
      </c>
      <c r="O202" s="2" t="s">
        <v>75</v>
      </c>
      <c r="P202" s="4">
        <v>21.744</v>
      </c>
      <c r="Q202" s="2">
        <v>3</v>
      </c>
      <c r="R202" s="3">
        <v>0.2</v>
      </c>
      <c r="S202" s="4">
        <v>6.7949999999999999</v>
      </c>
      <c r="T202" s="2" t="str">
        <f>TEXT(SalesData[[#This Row],[Order Date]],"mmm")</f>
        <v>Jun</v>
      </c>
      <c r="U202" s="2">
        <f>YEAR(SalesData[[#This Row],[Order Date]])</f>
        <v>2017</v>
      </c>
      <c r="V202" s="2" t="str">
        <f>IF(SalesData[[#This Row],[Profit]]&gt;0,"Profit","Loss")</f>
        <v>Profit</v>
      </c>
      <c r="W202" s="2" t="str">
        <f>IF(SalesData[[#This Row],[Profit]]&gt;100,"High Profit",
IF(SalesData[[#This Row],[Profit]]&gt;0,"Low Profit","Loss"))</f>
        <v>Low Profit</v>
      </c>
      <c r="X202" s="2" t="str">
        <f>IF(AND(SalesData[[#This Row],[Sales]]&gt;500,SalesData[[#This Row],[Profit]]&gt;0),"Good Order","Review")</f>
        <v>Review</v>
      </c>
      <c r="Y202" s="2"/>
      <c r="Z202" s="2"/>
      <c r="AA202" s="2"/>
      <c r="AB202" s="2"/>
    </row>
    <row r="203" spans="1:28" x14ac:dyDescent="0.3">
      <c r="A203" s="2">
        <v>202</v>
      </c>
      <c r="B203" s="2" t="s">
        <v>614</v>
      </c>
      <c r="C203" s="5">
        <v>41706</v>
      </c>
      <c r="D203" s="2" t="s">
        <v>151</v>
      </c>
      <c r="E203" s="2" t="s">
        <v>615</v>
      </c>
      <c r="F203" s="2" t="s">
        <v>616</v>
      </c>
      <c r="G203" s="2" t="s">
        <v>23</v>
      </c>
      <c r="H203" s="2" t="s">
        <v>24</v>
      </c>
      <c r="I203" s="2" t="s">
        <v>617</v>
      </c>
      <c r="J203" s="2" t="s">
        <v>354</v>
      </c>
      <c r="K203" s="2">
        <v>80219</v>
      </c>
      <c r="L203" s="2" t="s">
        <v>39</v>
      </c>
      <c r="M203" s="2" t="s">
        <v>618</v>
      </c>
      <c r="N203" s="2" t="s">
        <v>29</v>
      </c>
      <c r="O203" s="2" t="s">
        <v>50</v>
      </c>
      <c r="P203" s="4">
        <v>218.75</v>
      </c>
      <c r="Q203" s="2">
        <v>2</v>
      </c>
      <c r="R203" s="3">
        <v>0.5</v>
      </c>
      <c r="S203" s="4">
        <v>-161.875</v>
      </c>
      <c r="T203" s="2" t="str">
        <f>TEXT(SalesData[[#This Row],[Order Date]],"mmm")</f>
        <v>Mar</v>
      </c>
      <c r="U203" s="2">
        <f>YEAR(SalesData[[#This Row],[Order Date]])</f>
        <v>2014</v>
      </c>
      <c r="V203" s="2" t="str">
        <f>IF(SalesData[[#This Row],[Profit]]&gt;0,"Profit","Loss")</f>
        <v>Loss</v>
      </c>
      <c r="W203" s="2" t="str">
        <f>IF(SalesData[[#This Row],[Profit]]&gt;100,"High Profit",
IF(SalesData[[#This Row],[Profit]]&gt;0,"Low Profit","Loss"))</f>
        <v>Loss</v>
      </c>
      <c r="X203" s="2" t="str">
        <f>IF(AND(SalesData[[#This Row],[Sales]]&gt;500,SalesData[[#This Row],[Profit]]&gt;0),"Good Order","Review")</f>
        <v>Review</v>
      </c>
      <c r="Y203" s="2"/>
      <c r="Z203" s="2"/>
      <c r="AA203" s="2"/>
      <c r="AB203" s="2"/>
    </row>
    <row r="204" spans="1:28" x14ac:dyDescent="0.3">
      <c r="A204" s="2">
        <v>203</v>
      </c>
      <c r="B204" s="2" t="s">
        <v>614</v>
      </c>
      <c r="C204" s="5">
        <v>41706</v>
      </c>
      <c r="D204" s="2" t="s">
        <v>151</v>
      </c>
      <c r="E204" s="2" t="s">
        <v>615</v>
      </c>
      <c r="F204" s="2" t="s">
        <v>616</v>
      </c>
      <c r="G204" s="2" t="s">
        <v>23</v>
      </c>
      <c r="H204" s="2" t="s">
        <v>24</v>
      </c>
      <c r="I204" s="2" t="s">
        <v>617</v>
      </c>
      <c r="J204" s="2" t="s">
        <v>354</v>
      </c>
      <c r="K204" s="2">
        <v>80219</v>
      </c>
      <c r="L204" s="2" t="s">
        <v>39</v>
      </c>
      <c r="M204" s="2" t="s">
        <v>619</v>
      </c>
      <c r="N204" s="2" t="s">
        <v>41</v>
      </c>
      <c r="O204" s="2" t="s">
        <v>66</v>
      </c>
      <c r="P204" s="4">
        <v>2.6</v>
      </c>
      <c r="Q204" s="2">
        <v>1</v>
      </c>
      <c r="R204" s="3">
        <v>0.2</v>
      </c>
      <c r="S204" s="4">
        <v>0.29249999999999998</v>
      </c>
      <c r="T204" s="2" t="str">
        <f>TEXT(SalesData[[#This Row],[Order Date]],"mmm")</f>
        <v>Mar</v>
      </c>
      <c r="U204" s="2">
        <f>YEAR(SalesData[[#This Row],[Order Date]])</f>
        <v>2014</v>
      </c>
      <c r="V204" s="2" t="str">
        <f>IF(SalesData[[#This Row],[Profit]]&gt;0,"Profit","Loss")</f>
        <v>Profit</v>
      </c>
      <c r="W204" s="2" t="str">
        <f>IF(SalesData[[#This Row],[Profit]]&gt;100,"High Profit",
IF(SalesData[[#This Row],[Profit]]&gt;0,"Low Profit","Loss"))</f>
        <v>Low Profit</v>
      </c>
      <c r="X204" s="2" t="str">
        <f>IF(AND(SalesData[[#This Row],[Sales]]&gt;500,SalesData[[#This Row],[Profit]]&gt;0),"Good Order","Review")</f>
        <v>Review</v>
      </c>
      <c r="Y204" s="2"/>
      <c r="Z204" s="2"/>
      <c r="AA204" s="2"/>
      <c r="AB204" s="2"/>
    </row>
    <row r="205" spans="1:28" x14ac:dyDescent="0.3">
      <c r="A205" s="2">
        <v>204</v>
      </c>
      <c r="B205" s="2" t="s">
        <v>620</v>
      </c>
      <c r="C205" s="5">
        <v>43086</v>
      </c>
      <c r="D205" s="2" t="s">
        <v>20</v>
      </c>
      <c r="E205" s="2" t="s">
        <v>621</v>
      </c>
      <c r="F205" s="2" t="s">
        <v>622</v>
      </c>
      <c r="G205" s="2" t="s">
        <v>23</v>
      </c>
      <c r="H205" s="2" t="s">
        <v>24</v>
      </c>
      <c r="I205" s="2" t="s">
        <v>623</v>
      </c>
      <c r="J205" s="2" t="s">
        <v>87</v>
      </c>
      <c r="K205" s="2">
        <v>75220</v>
      </c>
      <c r="L205" s="2" t="s">
        <v>88</v>
      </c>
      <c r="M205" s="2" t="s">
        <v>624</v>
      </c>
      <c r="N205" s="2" t="s">
        <v>41</v>
      </c>
      <c r="O205" s="2" t="s">
        <v>66</v>
      </c>
      <c r="P205" s="4">
        <v>66.284000000000006</v>
      </c>
      <c r="Q205" s="2">
        <v>2</v>
      </c>
      <c r="R205" s="3">
        <v>0.8</v>
      </c>
      <c r="S205" s="4">
        <v>-178.96680000000001</v>
      </c>
      <c r="T205" s="2" t="str">
        <f>TEXT(SalesData[[#This Row],[Order Date]],"mmm")</f>
        <v>Dec</v>
      </c>
      <c r="U205" s="2">
        <f>YEAR(SalesData[[#This Row],[Order Date]])</f>
        <v>2017</v>
      </c>
      <c r="V205" s="2" t="str">
        <f>IF(SalesData[[#This Row],[Profit]]&gt;0,"Profit","Loss")</f>
        <v>Loss</v>
      </c>
      <c r="W205" s="2" t="str">
        <f>IF(SalesData[[#This Row],[Profit]]&gt;100,"High Profit",
IF(SalesData[[#This Row],[Profit]]&gt;0,"Low Profit","Loss"))</f>
        <v>Loss</v>
      </c>
      <c r="X205" s="2" t="str">
        <f>IF(AND(SalesData[[#This Row],[Sales]]&gt;500,SalesData[[#This Row],[Profit]]&gt;0),"Good Order","Review")</f>
        <v>Review</v>
      </c>
      <c r="Y205" s="2"/>
      <c r="Z205" s="2"/>
      <c r="AA205" s="2"/>
      <c r="AB205" s="2"/>
    </row>
    <row r="206" spans="1:28" x14ac:dyDescent="0.3">
      <c r="A206" s="2">
        <v>205</v>
      </c>
      <c r="B206" s="2" t="s">
        <v>625</v>
      </c>
      <c r="C206" s="5">
        <v>42800</v>
      </c>
      <c r="D206" s="2" t="s">
        <v>44</v>
      </c>
      <c r="E206" s="2" t="s">
        <v>626</v>
      </c>
      <c r="F206" s="2" t="s">
        <v>627</v>
      </c>
      <c r="G206" s="2" t="s">
        <v>36</v>
      </c>
      <c r="H206" s="2" t="s">
        <v>24</v>
      </c>
      <c r="I206" s="2" t="s">
        <v>470</v>
      </c>
      <c r="J206" s="2" t="s">
        <v>262</v>
      </c>
      <c r="K206" s="2">
        <v>37064</v>
      </c>
      <c r="L206" s="2" t="s">
        <v>27</v>
      </c>
      <c r="M206" s="2" t="s">
        <v>628</v>
      </c>
      <c r="N206" s="2" t="s">
        <v>29</v>
      </c>
      <c r="O206" s="2" t="s">
        <v>57</v>
      </c>
      <c r="P206" s="4">
        <v>35.167999999999999</v>
      </c>
      <c r="Q206" s="2">
        <v>7</v>
      </c>
      <c r="R206" s="3">
        <v>0.2</v>
      </c>
      <c r="S206" s="4">
        <v>9.6712000000000007</v>
      </c>
      <c r="T206" s="2" t="str">
        <f>TEXT(SalesData[[#This Row],[Order Date]],"mmm")</f>
        <v>Mar</v>
      </c>
      <c r="U206" s="2">
        <f>YEAR(SalesData[[#This Row],[Order Date]])</f>
        <v>2017</v>
      </c>
      <c r="V206" s="2" t="str">
        <f>IF(SalesData[[#This Row],[Profit]]&gt;0,"Profit","Loss")</f>
        <v>Profit</v>
      </c>
      <c r="W206" s="2" t="str">
        <f>IF(SalesData[[#This Row],[Profit]]&gt;100,"High Profit",
IF(SalesData[[#This Row],[Profit]]&gt;0,"Low Profit","Loss"))</f>
        <v>Low Profit</v>
      </c>
      <c r="X206" s="2" t="str">
        <f>IF(AND(SalesData[[#This Row],[Sales]]&gt;500,SalesData[[#This Row],[Profit]]&gt;0),"Good Order","Review")</f>
        <v>Review</v>
      </c>
      <c r="Y206" s="2"/>
      <c r="Z206" s="2"/>
      <c r="AA206" s="2"/>
      <c r="AB206" s="2"/>
    </row>
    <row r="207" spans="1:28" x14ac:dyDescent="0.3">
      <c r="A207" s="2">
        <v>206</v>
      </c>
      <c r="B207" s="2" t="s">
        <v>629</v>
      </c>
      <c r="C207" s="5">
        <v>42990</v>
      </c>
      <c r="D207" s="2" t="s">
        <v>44</v>
      </c>
      <c r="E207" s="2" t="s">
        <v>630</v>
      </c>
      <c r="F207" s="2" t="s">
        <v>631</v>
      </c>
      <c r="G207" s="2" t="s">
        <v>23</v>
      </c>
      <c r="H207" s="2" t="s">
        <v>24</v>
      </c>
      <c r="I207" s="2" t="s">
        <v>632</v>
      </c>
      <c r="J207" s="2" t="s">
        <v>38</v>
      </c>
      <c r="K207" s="2">
        <v>90604</v>
      </c>
      <c r="L207" s="2" t="s">
        <v>39</v>
      </c>
      <c r="M207" s="2" t="s">
        <v>633</v>
      </c>
      <c r="N207" s="2" t="s">
        <v>61</v>
      </c>
      <c r="O207" s="2" t="s">
        <v>62</v>
      </c>
      <c r="P207" s="4">
        <v>444.76799999999997</v>
      </c>
      <c r="Q207" s="2">
        <v>4</v>
      </c>
      <c r="R207" s="3">
        <v>0.2</v>
      </c>
      <c r="S207" s="4">
        <v>44.476799999999997</v>
      </c>
      <c r="T207" s="2" t="str">
        <f>TEXT(SalesData[[#This Row],[Order Date]],"mmm")</f>
        <v>Sep</v>
      </c>
      <c r="U207" s="2">
        <f>YEAR(SalesData[[#This Row],[Order Date]])</f>
        <v>2017</v>
      </c>
      <c r="V207" s="2" t="str">
        <f>IF(SalesData[[#This Row],[Profit]]&gt;0,"Profit","Loss")</f>
        <v>Profit</v>
      </c>
      <c r="W207" s="2" t="str">
        <f>IF(SalesData[[#This Row],[Profit]]&gt;100,"High Profit",
IF(SalesData[[#This Row],[Profit]]&gt;0,"Low Profit","Loss"))</f>
        <v>Low Profit</v>
      </c>
      <c r="X207" s="2" t="str">
        <f>IF(AND(SalesData[[#This Row],[Sales]]&gt;500,SalesData[[#This Row],[Profit]]&gt;0),"Good Order","Review")</f>
        <v>Review</v>
      </c>
      <c r="Y207" s="2"/>
      <c r="Z207" s="2"/>
      <c r="AA207" s="2"/>
      <c r="AB207" s="2"/>
    </row>
    <row r="208" spans="1:28" x14ac:dyDescent="0.3">
      <c r="A208" s="2">
        <v>207</v>
      </c>
      <c r="B208" s="2" t="s">
        <v>634</v>
      </c>
      <c r="C208" s="5">
        <v>42747</v>
      </c>
      <c r="D208" s="2" t="s">
        <v>44</v>
      </c>
      <c r="E208" s="2" t="s">
        <v>635</v>
      </c>
      <c r="F208" s="2" t="s">
        <v>636</v>
      </c>
      <c r="G208" s="2" t="s">
        <v>23</v>
      </c>
      <c r="H208" s="2" t="s">
        <v>24</v>
      </c>
      <c r="I208" s="2" t="s">
        <v>637</v>
      </c>
      <c r="J208" s="2" t="s">
        <v>190</v>
      </c>
      <c r="K208" s="2">
        <v>48601</v>
      </c>
      <c r="L208" s="2" t="s">
        <v>88</v>
      </c>
      <c r="M208" s="2" t="s">
        <v>638</v>
      </c>
      <c r="N208" s="2" t="s">
        <v>41</v>
      </c>
      <c r="O208" s="2" t="s">
        <v>52</v>
      </c>
      <c r="P208" s="4">
        <v>83.92</v>
      </c>
      <c r="Q208" s="2">
        <v>4</v>
      </c>
      <c r="R208" s="3">
        <v>0</v>
      </c>
      <c r="S208" s="4">
        <v>5.8743999999999996</v>
      </c>
      <c r="T208" s="2" t="str">
        <f>TEXT(SalesData[[#This Row],[Order Date]],"mmm")</f>
        <v>Jan</v>
      </c>
      <c r="U208" s="2">
        <f>YEAR(SalesData[[#This Row],[Order Date]])</f>
        <v>2017</v>
      </c>
      <c r="V208" s="2" t="str">
        <f>IF(SalesData[[#This Row],[Profit]]&gt;0,"Profit","Loss")</f>
        <v>Profit</v>
      </c>
      <c r="W208" s="2" t="str">
        <f>IF(SalesData[[#This Row],[Profit]]&gt;100,"High Profit",
IF(SalesData[[#This Row],[Profit]]&gt;0,"Low Profit","Loss"))</f>
        <v>Low Profit</v>
      </c>
      <c r="X208" s="2" t="str">
        <f>IF(AND(SalesData[[#This Row],[Sales]]&gt;500,SalesData[[#This Row],[Profit]]&gt;0),"Good Order","Review")</f>
        <v>Review</v>
      </c>
      <c r="Y208" s="2"/>
      <c r="Z208" s="2"/>
      <c r="AA208" s="2"/>
      <c r="AB208" s="2"/>
    </row>
    <row r="209" spans="1:28" x14ac:dyDescent="0.3">
      <c r="A209" s="2">
        <v>208</v>
      </c>
      <c r="B209" s="2" t="s">
        <v>634</v>
      </c>
      <c r="C209" s="5">
        <v>42747</v>
      </c>
      <c r="D209" s="2" t="s">
        <v>44</v>
      </c>
      <c r="E209" s="2" t="s">
        <v>635</v>
      </c>
      <c r="F209" s="2" t="s">
        <v>636</v>
      </c>
      <c r="G209" s="2" t="s">
        <v>23</v>
      </c>
      <c r="H209" s="2" t="s">
        <v>24</v>
      </c>
      <c r="I209" s="2" t="s">
        <v>637</v>
      </c>
      <c r="J209" s="2" t="s">
        <v>190</v>
      </c>
      <c r="K209" s="2">
        <v>48601</v>
      </c>
      <c r="L209" s="2" t="s">
        <v>88</v>
      </c>
      <c r="M209" s="2" t="s">
        <v>639</v>
      </c>
      <c r="N209" s="2" t="s">
        <v>61</v>
      </c>
      <c r="O209" s="2" t="s">
        <v>62</v>
      </c>
      <c r="P209" s="4">
        <v>131.97999999999999</v>
      </c>
      <c r="Q209" s="2">
        <v>2</v>
      </c>
      <c r="R209" s="3">
        <v>0</v>
      </c>
      <c r="S209" s="4">
        <v>35.634599999999999</v>
      </c>
      <c r="T209" s="2" t="str">
        <f>TEXT(SalesData[[#This Row],[Order Date]],"mmm")</f>
        <v>Jan</v>
      </c>
      <c r="U209" s="2">
        <f>YEAR(SalesData[[#This Row],[Order Date]])</f>
        <v>2017</v>
      </c>
      <c r="V209" s="2" t="str">
        <f>IF(SalesData[[#This Row],[Profit]]&gt;0,"Profit","Loss")</f>
        <v>Profit</v>
      </c>
      <c r="W209" s="2" t="str">
        <f>IF(SalesData[[#This Row],[Profit]]&gt;100,"High Profit",
IF(SalesData[[#This Row],[Profit]]&gt;0,"Low Profit","Loss"))</f>
        <v>Low Profit</v>
      </c>
      <c r="X209" s="2" t="str">
        <f>IF(AND(SalesData[[#This Row],[Sales]]&gt;500,SalesData[[#This Row],[Profit]]&gt;0),"Good Order","Review")</f>
        <v>Review</v>
      </c>
      <c r="Y209" s="2"/>
      <c r="Z209" s="2"/>
      <c r="AA209" s="2"/>
      <c r="AB209" s="2"/>
    </row>
    <row r="210" spans="1:28" x14ac:dyDescent="0.3">
      <c r="A210" s="2">
        <v>209</v>
      </c>
      <c r="B210" s="2" t="s">
        <v>634</v>
      </c>
      <c r="C210" s="5">
        <v>42747</v>
      </c>
      <c r="D210" s="2" t="s">
        <v>44</v>
      </c>
      <c r="E210" s="2" t="s">
        <v>635</v>
      </c>
      <c r="F210" s="2" t="s">
        <v>636</v>
      </c>
      <c r="G210" s="2" t="s">
        <v>23</v>
      </c>
      <c r="H210" s="2" t="s">
        <v>24</v>
      </c>
      <c r="I210" s="2" t="s">
        <v>637</v>
      </c>
      <c r="J210" s="2" t="s">
        <v>190</v>
      </c>
      <c r="K210" s="2">
        <v>48601</v>
      </c>
      <c r="L210" s="2" t="s">
        <v>88</v>
      </c>
      <c r="M210" s="2" t="s">
        <v>420</v>
      </c>
      <c r="N210" s="2" t="s">
        <v>41</v>
      </c>
      <c r="O210" s="2" t="s">
        <v>64</v>
      </c>
      <c r="P210" s="4">
        <v>15.92</v>
      </c>
      <c r="Q210" s="2">
        <v>4</v>
      </c>
      <c r="R210" s="3">
        <v>0</v>
      </c>
      <c r="S210" s="4">
        <v>7.4824000000000002</v>
      </c>
      <c r="T210" s="2" t="str">
        <f>TEXT(SalesData[[#This Row],[Order Date]],"mmm")</f>
        <v>Jan</v>
      </c>
      <c r="U210" s="2">
        <f>YEAR(SalesData[[#This Row],[Order Date]])</f>
        <v>2017</v>
      </c>
      <c r="V210" s="2" t="str">
        <f>IF(SalesData[[#This Row],[Profit]]&gt;0,"Profit","Loss")</f>
        <v>Profit</v>
      </c>
      <c r="W210" s="2" t="str">
        <f>IF(SalesData[[#This Row],[Profit]]&gt;100,"High Profit",
IF(SalesData[[#This Row],[Profit]]&gt;0,"Low Profit","Loss"))</f>
        <v>Low Profit</v>
      </c>
      <c r="X210" s="2" t="str">
        <f>IF(AND(SalesData[[#This Row],[Sales]]&gt;500,SalesData[[#This Row],[Profit]]&gt;0),"Good Order","Review")</f>
        <v>Review</v>
      </c>
      <c r="Y210" s="2"/>
      <c r="Z210" s="2"/>
      <c r="AA210" s="2"/>
      <c r="AB210" s="2"/>
    </row>
    <row r="211" spans="1:28" x14ac:dyDescent="0.3">
      <c r="A211" s="2">
        <v>210</v>
      </c>
      <c r="B211" s="2" t="s">
        <v>634</v>
      </c>
      <c r="C211" s="5">
        <v>42747</v>
      </c>
      <c r="D211" s="2" t="s">
        <v>44</v>
      </c>
      <c r="E211" s="2" t="s">
        <v>635</v>
      </c>
      <c r="F211" s="2" t="s">
        <v>636</v>
      </c>
      <c r="G211" s="2" t="s">
        <v>23</v>
      </c>
      <c r="H211" s="2" t="s">
        <v>24</v>
      </c>
      <c r="I211" s="2" t="s">
        <v>637</v>
      </c>
      <c r="J211" s="2" t="s">
        <v>190</v>
      </c>
      <c r="K211" s="2">
        <v>48601</v>
      </c>
      <c r="L211" s="2" t="s">
        <v>88</v>
      </c>
      <c r="M211" s="2" t="s">
        <v>640</v>
      </c>
      <c r="N211" s="2" t="s">
        <v>41</v>
      </c>
      <c r="O211" s="2" t="s">
        <v>214</v>
      </c>
      <c r="P211" s="4">
        <v>52.29</v>
      </c>
      <c r="Q211" s="2">
        <v>9</v>
      </c>
      <c r="R211" s="3">
        <v>0</v>
      </c>
      <c r="S211" s="4">
        <v>16.209900000000001</v>
      </c>
      <c r="T211" s="2" t="str">
        <f>TEXT(SalesData[[#This Row],[Order Date]],"mmm")</f>
        <v>Jan</v>
      </c>
      <c r="U211" s="2">
        <f>YEAR(SalesData[[#This Row],[Order Date]])</f>
        <v>2017</v>
      </c>
      <c r="V211" s="2" t="str">
        <f>IF(SalesData[[#This Row],[Profit]]&gt;0,"Profit","Loss")</f>
        <v>Profit</v>
      </c>
      <c r="W211" s="2" t="str">
        <f>IF(SalesData[[#This Row],[Profit]]&gt;100,"High Profit",
IF(SalesData[[#This Row],[Profit]]&gt;0,"Low Profit","Loss"))</f>
        <v>Low Profit</v>
      </c>
      <c r="X211" s="2" t="str">
        <f>IF(AND(SalesData[[#This Row],[Sales]]&gt;500,SalesData[[#This Row],[Profit]]&gt;0),"Good Order","Review")</f>
        <v>Review</v>
      </c>
      <c r="Y211" s="2"/>
      <c r="Z211" s="2"/>
      <c r="AA211" s="2"/>
      <c r="AB211" s="2"/>
    </row>
    <row r="212" spans="1:28" x14ac:dyDescent="0.3">
      <c r="A212" s="2">
        <v>211</v>
      </c>
      <c r="B212" s="2" t="s">
        <v>634</v>
      </c>
      <c r="C212" s="5">
        <v>42747</v>
      </c>
      <c r="D212" s="2" t="s">
        <v>44</v>
      </c>
      <c r="E212" s="2" t="s">
        <v>635</v>
      </c>
      <c r="F212" s="2" t="s">
        <v>636</v>
      </c>
      <c r="G212" s="2" t="s">
        <v>23</v>
      </c>
      <c r="H212" s="2" t="s">
        <v>24</v>
      </c>
      <c r="I212" s="2" t="s">
        <v>637</v>
      </c>
      <c r="J212" s="2" t="s">
        <v>190</v>
      </c>
      <c r="K212" s="2">
        <v>48601</v>
      </c>
      <c r="L212" s="2" t="s">
        <v>88</v>
      </c>
      <c r="M212" s="2" t="s">
        <v>641</v>
      </c>
      <c r="N212" s="2" t="s">
        <v>41</v>
      </c>
      <c r="O212" s="2" t="s">
        <v>52</v>
      </c>
      <c r="P212" s="4">
        <v>91.99</v>
      </c>
      <c r="Q212" s="2">
        <v>1</v>
      </c>
      <c r="R212" s="3">
        <v>0</v>
      </c>
      <c r="S212" s="4">
        <v>3.6796000000000002</v>
      </c>
      <c r="T212" s="2" t="str">
        <f>TEXT(SalesData[[#This Row],[Order Date]],"mmm")</f>
        <v>Jan</v>
      </c>
      <c r="U212" s="2">
        <f>YEAR(SalesData[[#This Row],[Order Date]])</f>
        <v>2017</v>
      </c>
      <c r="V212" s="2" t="str">
        <f>IF(SalesData[[#This Row],[Profit]]&gt;0,"Profit","Loss")</f>
        <v>Profit</v>
      </c>
      <c r="W212" s="2" t="str">
        <f>IF(SalesData[[#This Row],[Profit]]&gt;100,"High Profit",
IF(SalesData[[#This Row],[Profit]]&gt;0,"Low Profit","Loss"))</f>
        <v>Low Profit</v>
      </c>
      <c r="X212" s="2" t="str">
        <f>IF(AND(SalesData[[#This Row],[Sales]]&gt;500,SalesData[[#This Row],[Profit]]&gt;0),"Good Order","Review")</f>
        <v>Review</v>
      </c>
      <c r="Y212" s="2"/>
      <c r="Z212" s="2"/>
      <c r="AA212" s="2"/>
      <c r="AB212" s="2"/>
    </row>
    <row r="213" spans="1:28" x14ac:dyDescent="0.3">
      <c r="A213" s="2">
        <v>212</v>
      </c>
      <c r="B213" s="2" t="s">
        <v>642</v>
      </c>
      <c r="C213" s="5">
        <v>42249</v>
      </c>
      <c r="D213" s="2" t="s">
        <v>20</v>
      </c>
      <c r="E213" s="2" t="s">
        <v>643</v>
      </c>
      <c r="F213" s="2" t="s">
        <v>644</v>
      </c>
      <c r="G213" s="2" t="s">
        <v>36</v>
      </c>
      <c r="H213" s="2" t="s">
        <v>24</v>
      </c>
      <c r="I213" s="2" t="s">
        <v>623</v>
      </c>
      <c r="J213" s="2" t="s">
        <v>87</v>
      </c>
      <c r="K213" s="2">
        <v>75220</v>
      </c>
      <c r="L213" s="2" t="s">
        <v>88</v>
      </c>
      <c r="M213" s="2" t="s">
        <v>645</v>
      </c>
      <c r="N213" s="2" t="s">
        <v>61</v>
      </c>
      <c r="O213" s="2" t="s">
        <v>133</v>
      </c>
      <c r="P213" s="4">
        <v>20.8</v>
      </c>
      <c r="Q213" s="2">
        <v>2</v>
      </c>
      <c r="R213" s="3">
        <v>0.2</v>
      </c>
      <c r="S213" s="4">
        <v>6.5</v>
      </c>
      <c r="T213" s="2" t="str">
        <f>TEXT(SalesData[[#This Row],[Order Date]],"mmm")</f>
        <v>Sep</v>
      </c>
      <c r="U213" s="2">
        <f>YEAR(SalesData[[#This Row],[Order Date]])</f>
        <v>2015</v>
      </c>
      <c r="V213" s="2" t="str">
        <f>IF(SalesData[[#This Row],[Profit]]&gt;0,"Profit","Loss")</f>
        <v>Profit</v>
      </c>
      <c r="W213" s="2" t="str">
        <f>IF(SalesData[[#This Row],[Profit]]&gt;100,"High Profit",
IF(SalesData[[#This Row],[Profit]]&gt;0,"Low Profit","Loss"))</f>
        <v>Low Profit</v>
      </c>
      <c r="X213" s="2" t="str">
        <f>IF(AND(SalesData[[#This Row],[Sales]]&gt;500,SalesData[[#This Row],[Profit]]&gt;0),"Good Order","Review")</f>
        <v>Review</v>
      </c>
      <c r="Y213" s="2"/>
      <c r="Z213" s="2"/>
      <c r="AA213" s="2"/>
      <c r="AB213" s="2"/>
    </row>
    <row r="214" spans="1:28" x14ac:dyDescent="0.3">
      <c r="A214" s="2">
        <v>213</v>
      </c>
      <c r="B214" s="2" t="s">
        <v>646</v>
      </c>
      <c r="C214" s="5">
        <v>42036</v>
      </c>
      <c r="D214" s="2" t="s">
        <v>44</v>
      </c>
      <c r="E214" s="2" t="s">
        <v>647</v>
      </c>
      <c r="F214" s="2" t="s">
        <v>648</v>
      </c>
      <c r="G214" s="2" t="s">
        <v>36</v>
      </c>
      <c r="H214" s="2" t="s">
        <v>24</v>
      </c>
      <c r="I214" s="2" t="s">
        <v>649</v>
      </c>
      <c r="J214" s="2" t="s">
        <v>385</v>
      </c>
      <c r="K214" s="2">
        <v>44256</v>
      </c>
      <c r="L214" s="2" t="s">
        <v>122</v>
      </c>
      <c r="M214" s="2" t="s">
        <v>650</v>
      </c>
      <c r="N214" s="2" t="s">
        <v>41</v>
      </c>
      <c r="O214" s="2" t="s">
        <v>42</v>
      </c>
      <c r="P214" s="4">
        <v>23.68</v>
      </c>
      <c r="Q214" s="2">
        <v>2</v>
      </c>
      <c r="R214" s="3">
        <v>0.2</v>
      </c>
      <c r="S214" s="4">
        <v>8.8800000000000008</v>
      </c>
      <c r="T214" s="2" t="str">
        <f>TEXT(SalesData[[#This Row],[Order Date]],"mmm")</f>
        <v>Feb</v>
      </c>
      <c r="U214" s="2">
        <f>YEAR(SalesData[[#This Row],[Order Date]])</f>
        <v>2015</v>
      </c>
      <c r="V214" s="2" t="str">
        <f>IF(SalesData[[#This Row],[Profit]]&gt;0,"Profit","Loss")</f>
        <v>Profit</v>
      </c>
      <c r="W214" s="2" t="str">
        <f>IF(SalesData[[#This Row],[Profit]]&gt;100,"High Profit",
IF(SalesData[[#This Row],[Profit]]&gt;0,"Low Profit","Loss"))</f>
        <v>Low Profit</v>
      </c>
      <c r="X214" s="2" t="str">
        <f>IF(AND(SalesData[[#This Row],[Sales]]&gt;500,SalesData[[#This Row],[Profit]]&gt;0),"Good Order","Review")</f>
        <v>Review</v>
      </c>
      <c r="Y214" s="2"/>
      <c r="Z214" s="2"/>
      <c r="AA214" s="2"/>
      <c r="AB214" s="2"/>
    </row>
    <row r="215" spans="1:28" x14ac:dyDescent="0.3">
      <c r="A215" s="2">
        <v>214</v>
      </c>
      <c r="B215" s="2" t="s">
        <v>646</v>
      </c>
      <c r="C215" s="5">
        <v>42036</v>
      </c>
      <c r="D215" s="2" t="s">
        <v>44</v>
      </c>
      <c r="E215" s="2" t="s">
        <v>647</v>
      </c>
      <c r="F215" s="2" t="s">
        <v>648</v>
      </c>
      <c r="G215" s="2" t="s">
        <v>36</v>
      </c>
      <c r="H215" s="2" t="s">
        <v>24</v>
      </c>
      <c r="I215" s="2" t="s">
        <v>649</v>
      </c>
      <c r="J215" s="2" t="s">
        <v>385</v>
      </c>
      <c r="K215" s="2">
        <v>44256</v>
      </c>
      <c r="L215" s="2" t="s">
        <v>122</v>
      </c>
      <c r="M215" s="2" t="s">
        <v>651</v>
      </c>
      <c r="N215" s="2" t="s">
        <v>29</v>
      </c>
      <c r="O215" s="2" t="s">
        <v>30</v>
      </c>
      <c r="P215" s="4">
        <v>452.45</v>
      </c>
      <c r="Q215" s="2">
        <v>5</v>
      </c>
      <c r="R215" s="3">
        <v>0.5</v>
      </c>
      <c r="S215" s="4">
        <v>-244.32300000000001</v>
      </c>
      <c r="T215" s="2" t="str">
        <f>TEXT(SalesData[[#This Row],[Order Date]],"mmm")</f>
        <v>Feb</v>
      </c>
      <c r="U215" s="2">
        <f>YEAR(SalesData[[#This Row],[Order Date]])</f>
        <v>2015</v>
      </c>
      <c r="V215" s="2" t="str">
        <f>IF(SalesData[[#This Row],[Profit]]&gt;0,"Profit","Loss")</f>
        <v>Loss</v>
      </c>
      <c r="W215" s="2" t="str">
        <f>IF(SalesData[[#This Row],[Profit]]&gt;100,"High Profit",
IF(SalesData[[#This Row],[Profit]]&gt;0,"Low Profit","Loss"))</f>
        <v>Loss</v>
      </c>
      <c r="X215" s="2" t="str">
        <f>IF(AND(SalesData[[#This Row],[Sales]]&gt;500,SalesData[[#This Row],[Profit]]&gt;0),"Good Order","Review")</f>
        <v>Review</v>
      </c>
      <c r="Y215" s="2"/>
      <c r="Z215" s="2"/>
      <c r="AA215" s="2"/>
      <c r="AB215" s="2"/>
    </row>
    <row r="216" spans="1:28" x14ac:dyDescent="0.3">
      <c r="A216" s="2">
        <v>215</v>
      </c>
      <c r="B216" s="2" t="s">
        <v>646</v>
      </c>
      <c r="C216" s="5">
        <v>42036</v>
      </c>
      <c r="D216" s="2" t="s">
        <v>44</v>
      </c>
      <c r="E216" s="2" t="s">
        <v>647</v>
      </c>
      <c r="F216" s="2" t="s">
        <v>648</v>
      </c>
      <c r="G216" s="2" t="s">
        <v>36</v>
      </c>
      <c r="H216" s="2" t="s">
        <v>24</v>
      </c>
      <c r="I216" s="2" t="s">
        <v>649</v>
      </c>
      <c r="J216" s="2" t="s">
        <v>385</v>
      </c>
      <c r="K216" s="2">
        <v>44256</v>
      </c>
      <c r="L216" s="2" t="s">
        <v>122</v>
      </c>
      <c r="M216" s="2" t="s">
        <v>363</v>
      </c>
      <c r="N216" s="2" t="s">
        <v>61</v>
      </c>
      <c r="O216" s="2" t="s">
        <v>62</v>
      </c>
      <c r="P216" s="4">
        <v>62.981999999999999</v>
      </c>
      <c r="Q216" s="2">
        <v>3</v>
      </c>
      <c r="R216" s="3">
        <v>0.4</v>
      </c>
      <c r="S216" s="4">
        <v>-14.6958</v>
      </c>
      <c r="T216" s="2" t="str">
        <f>TEXT(SalesData[[#This Row],[Order Date]],"mmm")</f>
        <v>Feb</v>
      </c>
      <c r="U216" s="2">
        <f>YEAR(SalesData[[#This Row],[Order Date]])</f>
        <v>2015</v>
      </c>
      <c r="V216" s="2" t="str">
        <f>IF(SalesData[[#This Row],[Profit]]&gt;0,"Profit","Loss")</f>
        <v>Loss</v>
      </c>
      <c r="W216" s="2" t="str">
        <f>IF(SalesData[[#This Row],[Profit]]&gt;100,"High Profit",
IF(SalesData[[#This Row],[Profit]]&gt;0,"Low Profit","Loss"))</f>
        <v>Loss</v>
      </c>
      <c r="X216" s="2" t="str">
        <f>IF(AND(SalesData[[#This Row],[Sales]]&gt;500,SalesData[[#This Row],[Profit]]&gt;0),"Good Order","Review")</f>
        <v>Review</v>
      </c>
      <c r="Y216" s="2"/>
      <c r="Z216" s="2"/>
      <c r="AA216" s="2"/>
      <c r="AB216" s="2"/>
    </row>
    <row r="217" spans="1:28" x14ac:dyDescent="0.3">
      <c r="A217" s="2">
        <v>216</v>
      </c>
      <c r="B217" s="2" t="s">
        <v>646</v>
      </c>
      <c r="C217" s="5">
        <v>42036</v>
      </c>
      <c r="D217" s="2" t="s">
        <v>44</v>
      </c>
      <c r="E217" s="2" t="s">
        <v>647</v>
      </c>
      <c r="F217" s="2" t="s">
        <v>648</v>
      </c>
      <c r="G217" s="2" t="s">
        <v>36</v>
      </c>
      <c r="H217" s="2" t="s">
        <v>24</v>
      </c>
      <c r="I217" s="2" t="s">
        <v>649</v>
      </c>
      <c r="J217" s="2" t="s">
        <v>385</v>
      </c>
      <c r="K217" s="2">
        <v>44256</v>
      </c>
      <c r="L217" s="2" t="s">
        <v>122</v>
      </c>
      <c r="M217" s="2" t="s">
        <v>652</v>
      </c>
      <c r="N217" s="2" t="s">
        <v>61</v>
      </c>
      <c r="O217" s="2" t="s">
        <v>525</v>
      </c>
      <c r="P217" s="4">
        <v>1188</v>
      </c>
      <c r="Q217" s="2">
        <v>9</v>
      </c>
      <c r="R217" s="3">
        <v>0.7</v>
      </c>
      <c r="S217" s="4">
        <v>-950.4</v>
      </c>
      <c r="T217" s="2" t="str">
        <f>TEXT(SalesData[[#This Row],[Order Date]],"mmm")</f>
        <v>Feb</v>
      </c>
      <c r="U217" s="2">
        <f>YEAR(SalesData[[#This Row],[Order Date]])</f>
        <v>2015</v>
      </c>
      <c r="V217" s="2" t="str">
        <f>IF(SalesData[[#This Row],[Profit]]&gt;0,"Profit","Loss")</f>
        <v>Loss</v>
      </c>
      <c r="W217" s="2" t="str">
        <f>IF(SalesData[[#This Row],[Profit]]&gt;100,"High Profit",
IF(SalesData[[#This Row],[Profit]]&gt;0,"Low Profit","Loss"))</f>
        <v>Loss</v>
      </c>
      <c r="X217" s="2" t="str">
        <f>IF(AND(SalesData[[#This Row],[Sales]]&gt;500,SalesData[[#This Row],[Profit]]&gt;0),"Good Order","Review")</f>
        <v>Review</v>
      </c>
      <c r="Y217" s="2"/>
      <c r="Z217" s="2"/>
      <c r="AA217" s="2"/>
      <c r="AB217" s="2"/>
    </row>
    <row r="218" spans="1:28" x14ac:dyDescent="0.3">
      <c r="A218" s="2">
        <v>217</v>
      </c>
      <c r="B218" s="2" t="s">
        <v>646</v>
      </c>
      <c r="C218" s="5">
        <v>42036</v>
      </c>
      <c r="D218" s="2" t="s">
        <v>44</v>
      </c>
      <c r="E218" s="2" t="s">
        <v>647</v>
      </c>
      <c r="F218" s="2" t="s">
        <v>648</v>
      </c>
      <c r="G218" s="2" t="s">
        <v>36</v>
      </c>
      <c r="H218" s="2" t="s">
        <v>24</v>
      </c>
      <c r="I218" s="2" t="s">
        <v>649</v>
      </c>
      <c r="J218" s="2" t="s">
        <v>385</v>
      </c>
      <c r="K218" s="2">
        <v>44256</v>
      </c>
      <c r="L218" s="2" t="s">
        <v>122</v>
      </c>
      <c r="M218" s="2" t="s">
        <v>653</v>
      </c>
      <c r="N218" s="2" t="s">
        <v>61</v>
      </c>
      <c r="O218" s="2" t="s">
        <v>133</v>
      </c>
      <c r="P218" s="4">
        <v>89.584000000000003</v>
      </c>
      <c r="Q218" s="2">
        <v>2</v>
      </c>
      <c r="R218" s="3">
        <v>0.2</v>
      </c>
      <c r="S218" s="4">
        <v>4.4791999999999996</v>
      </c>
      <c r="T218" s="2" t="str">
        <f>TEXT(SalesData[[#This Row],[Order Date]],"mmm")</f>
        <v>Feb</v>
      </c>
      <c r="U218" s="2">
        <f>YEAR(SalesData[[#This Row],[Order Date]])</f>
        <v>2015</v>
      </c>
      <c r="V218" s="2" t="str">
        <f>IF(SalesData[[#This Row],[Profit]]&gt;0,"Profit","Loss")</f>
        <v>Profit</v>
      </c>
      <c r="W218" s="2" t="str">
        <f>IF(SalesData[[#This Row],[Profit]]&gt;100,"High Profit",
IF(SalesData[[#This Row],[Profit]]&gt;0,"Low Profit","Loss"))</f>
        <v>Low Profit</v>
      </c>
      <c r="X218" s="2" t="str">
        <f>IF(AND(SalesData[[#This Row],[Sales]]&gt;500,SalesData[[#This Row],[Profit]]&gt;0),"Good Order","Review")</f>
        <v>Review</v>
      </c>
      <c r="Y218" s="2"/>
      <c r="Z218" s="2"/>
      <c r="AA218" s="2"/>
      <c r="AB218" s="2"/>
    </row>
    <row r="219" spans="1:28" x14ac:dyDescent="0.3">
      <c r="A219" s="2">
        <v>218</v>
      </c>
      <c r="B219" s="2" t="s">
        <v>654</v>
      </c>
      <c r="C219" s="5">
        <v>42671</v>
      </c>
      <c r="D219" s="2" t="s">
        <v>44</v>
      </c>
      <c r="E219" s="2" t="s">
        <v>655</v>
      </c>
      <c r="F219" s="2" t="s">
        <v>656</v>
      </c>
      <c r="G219" s="2" t="s">
        <v>23</v>
      </c>
      <c r="H219" s="2" t="s">
        <v>24</v>
      </c>
      <c r="I219" s="2" t="s">
        <v>37</v>
      </c>
      <c r="J219" s="2" t="s">
        <v>38</v>
      </c>
      <c r="K219" s="2">
        <v>90032</v>
      </c>
      <c r="L219" s="2" t="s">
        <v>39</v>
      </c>
      <c r="M219" s="2" t="s">
        <v>580</v>
      </c>
      <c r="N219" s="2" t="s">
        <v>41</v>
      </c>
      <c r="O219" s="2" t="s">
        <v>52</v>
      </c>
      <c r="P219" s="4">
        <v>93.06</v>
      </c>
      <c r="Q219" s="2">
        <v>6</v>
      </c>
      <c r="R219" s="3">
        <v>0</v>
      </c>
      <c r="S219" s="4">
        <v>26.056799999999999</v>
      </c>
      <c r="T219" s="2" t="str">
        <f>TEXT(SalesData[[#This Row],[Order Date]],"mmm")</f>
        <v>Oct</v>
      </c>
      <c r="U219" s="2">
        <f>YEAR(SalesData[[#This Row],[Order Date]])</f>
        <v>2016</v>
      </c>
      <c r="V219" s="2" t="str">
        <f>IF(SalesData[[#This Row],[Profit]]&gt;0,"Profit","Loss")</f>
        <v>Profit</v>
      </c>
      <c r="W219" s="2" t="str">
        <f>IF(SalesData[[#This Row],[Profit]]&gt;100,"High Profit",
IF(SalesData[[#This Row],[Profit]]&gt;0,"Low Profit","Loss"))</f>
        <v>Low Profit</v>
      </c>
      <c r="X219" s="2" t="str">
        <f>IF(AND(SalesData[[#This Row],[Sales]]&gt;500,SalesData[[#This Row],[Profit]]&gt;0),"Good Order","Review")</f>
        <v>Review</v>
      </c>
      <c r="Y219" s="2"/>
      <c r="Z219" s="2"/>
      <c r="AA219" s="2"/>
      <c r="AB219" s="2"/>
    </row>
    <row r="220" spans="1:28" x14ac:dyDescent="0.3">
      <c r="A220" s="2">
        <v>219</v>
      </c>
      <c r="B220" s="2" t="s">
        <v>654</v>
      </c>
      <c r="C220" s="5">
        <v>42671</v>
      </c>
      <c r="D220" s="2" t="s">
        <v>44</v>
      </c>
      <c r="E220" s="2" t="s">
        <v>655</v>
      </c>
      <c r="F220" s="2" t="s">
        <v>656</v>
      </c>
      <c r="G220" s="2" t="s">
        <v>23</v>
      </c>
      <c r="H220" s="2" t="s">
        <v>24</v>
      </c>
      <c r="I220" s="2" t="s">
        <v>37</v>
      </c>
      <c r="J220" s="2" t="s">
        <v>38</v>
      </c>
      <c r="K220" s="2">
        <v>90032</v>
      </c>
      <c r="L220" s="2" t="s">
        <v>39</v>
      </c>
      <c r="M220" s="2" t="s">
        <v>657</v>
      </c>
      <c r="N220" s="2" t="s">
        <v>61</v>
      </c>
      <c r="O220" s="2" t="s">
        <v>62</v>
      </c>
      <c r="P220" s="4">
        <v>302.37599999999998</v>
      </c>
      <c r="Q220" s="2">
        <v>3</v>
      </c>
      <c r="R220" s="3">
        <v>0.2</v>
      </c>
      <c r="S220" s="4">
        <v>22.6782</v>
      </c>
      <c r="T220" s="2" t="str">
        <f>TEXT(SalesData[[#This Row],[Order Date]],"mmm")</f>
        <v>Oct</v>
      </c>
      <c r="U220" s="2">
        <f>YEAR(SalesData[[#This Row],[Order Date]])</f>
        <v>2016</v>
      </c>
      <c r="V220" s="2" t="str">
        <f>IF(SalesData[[#This Row],[Profit]]&gt;0,"Profit","Loss")</f>
        <v>Profit</v>
      </c>
      <c r="W220" s="2" t="str">
        <f>IF(SalesData[[#This Row],[Profit]]&gt;100,"High Profit",
IF(SalesData[[#This Row],[Profit]]&gt;0,"Low Profit","Loss"))</f>
        <v>Low Profit</v>
      </c>
      <c r="X220" s="2" t="str">
        <f>IF(AND(SalesData[[#This Row],[Sales]]&gt;500,SalesData[[#This Row],[Profit]]&gt;0),"Good Order","Review")</f>
        <v>Review</v>
      </c>
      <c r="Y220" s="2"/>
      <c r="Z220" s="2"/>
      <c r="AA220" s="2"/>
      <c r="AB220" s="2"/>
    </row>
    <row r="221" spans="1:28" x14ac:dyDescent="0.3">
      <c r="A221" s="2">
        <v>220</v>
      </c>
      <c r="B221" s="2" t="s">
        <v>658</v>
      </c>
      <c r="C221" s="5">
        <v>42362</v>
      </c>
      <c r="D221" s="2" t="s">
        <v>151</v>
      </c>
      <c r="E221" s="2" t="s">
        <v>659</v>
      </c>
      <c r="F221" s="2" t="s">
        <v>660</v>
      </c>
      <c r="G221" s="2" t="s">
        <v>23</v>
      </c>
      <c r="H221" s="2" t="s">
        <v>24</v>
      </c>
      <c r="I221" s="2" t="s">
        <v>661</v>
      </c>
      <c r="J221" s="2" t="s">
        <v>385</v>
      </c>
      <c r="K221" s="2">
        <v>43017</v>
      </c>
      <c r="L221" s="2" t="s">
        <v>122</v>
      </c>
      <c r="M221" s="2" t="s">
        <v>662</v>
      </c>
      <c r="N221" s="2" t="s">
        <v>41</v>
      </c>
      <c r="O221" s="2" t="s">
        <v>214</v>
      </c>
      <c r="P221" s="4">
        <v>5.5839999999999996</v>
      </c>
      <c r="Q221" s="2">
        <v>2</v>
      </c>
      <c r="R221" s="3">
        <v>0.2</v>
      </c>
      <c r="S221" s="4">
        <v>1.8148</v>
      </c>
      <c r="T221" s="2" t="str">
        <f>TEXT(SalesData[[#This Row],[Order Date]],"mmm")</f>
        <v>Dec</v>
      </c>
      <c r="U221" s="2">
        <f>YEAR(SalesData[[#This Row],[Order Date]])</f>
        <v>2015</v>
      </c>
      <c r="V221" s="2" t="str">
        <f>IF(SalesData[[#This Row],[Profit]]&gt;0,"Profit","Loss")</f>
        <v>Profit</v>
      </c>
      <c r="W221" s="2" t="str">
        <f>IF(SalesData[[#This Row],[Profit]]&gt;100,"High Profit",
IF(SalesData[[#This Row],[Profit]]&gt;0,"Low Profit","Loss"))</f>
        <v>Low Profit</v>
      </c>
      <c r="X221" s="2" t="str">
        <f>IF(AND(SalesData[[#This Row],[Sales]]&gt;500,SalesData[[#This Row],[Profit]]&gt;0),"Good Order","Review")</f>
        <v>Review</v>
      </c>
      <c r="Y221" s="2"/>
      <c r="Z221" s="2"/>
      <c r="AA221" s="2"/>
      <c r="AB221" s="2"/>
    </row>
    <row r="222" spans="1:28" x14ac:dyDescent="0.3">
      <c r="A222" s="2">
        <v>221</v>
      </c>
      <c r="B222" s="2" t="s">
        <v>658</v>
      </c>
      <c r="C222" s="5">
        <v>42362</v>
      </c>
      <c r="D222" s="2" t="s">
        <v>151</v>
      </c>
      <c r="E222" s="2" t="s">
        <v>659</v>
      </c>
      <c r="F222" s="2" t="s">
        <v>660</v>
      </c>
      <c r="G222" s="2" t="s">
        <v>23</v>
      </c>
      <c r="H222" s="2" t="s">
        <v>24</v>
      </c>
      <c r="I222" s="2" t="s">
        <v>661</v>
      </c>
      <c r="J222" s="2" t="s">
        <v>385</v>
      </c>
      <c r="K222" s="2">
        <v>43017</v>
      </c>
      <c r="L222" s="2" t="s">
        <v>122</v>
      </c>
      <c r="M222" s="2" t="s">
        <v>663</v>
      </c>
      <c r="N222" s="2" t="s">
        <v>41</v>
      </c>
      <c r="O222" s="2" t="s">
        <v>75</v>
      </c>
      <c r="P222" s="4">
        <v>22.704000000000001</v>
      </c>
      <c r="Q222" s="2">
        <v>6</v>
      </c>
      <c r="R222" s="3">
        <v>0.2</v>
      </c>
      <c r="S222" s="4">
        <v>8.2302</v>
      </c>
      <c r="T222" s="2" t="str">
        <f>TEXT(SalesData[[#This Row],[Order Date]],"mmm")</f>
        <v>Dec</v>
      </c>
      <c r="U222" s="2">
        <f>YEAR(SalesData[[#This Row],[Order Date]])</f>
        <v>2015</v>
      </c>
      <c r="V222" s="2" t="str">
        <f>IF(SalesData[[#This Row],[Profit]]&gt;0,"Profit","Loss")</f>
        <v>Profit</v>
      </c>
      <c r="W222" s="2" t="str">
        <f>IF(SalesData[[#This Row],[Profit]]&gt;100,"High Profit",
IF(SalesData[[#This Row],[Profit]]&gt;0,"Low Profit","Loss"))</f>
        <v>Low Profit</v>
      </c>
      <c r="X222" s="2" t="str">
        <f>IF(AND(SalesData[[#This Row],[Sales]]&gt;500,SalesData[[#This Row],[Profit]]&gt;0),"Good Order","Review")</f>
        <v>Review</v>
      </c>
      <c r="Y222" s="2"/>
      <c r="Z222" s="2"/>
      <c r="AA222" s="2"/>
      <c r="AB222" s="2"/>
    </row>
    <row r="223" spans="1:28" x14ac:dyDescent="0.3">
      <c r="A223" s="2">
        <v>222</v>
      </c>
      <c r="B223" s="2" t="s">
        <v>658</v>
      </c>
      <c r="C223" s="5">
        <v>42362</v>
      </c>
      <c r="D223" s="2" t="s">
        <v>151</v>
      </c>
      <c r="E223" s="2" t="s">
        <v>659</v>
      </c>
      <c r="F223" s="2" t="s">
        <v>660</v>
      </c>
      <c r="G223" s="2" t="s">
        <v>23</v>
      </c>
      <c r="H223" s="2" t="s">
        <v>24</v>
      </c>
      <c r="I223" s="2" t="s">
        <v>661</v>
      </c>
      <c r="J223" s="2" t="s">
        <v>385</v>
      </c>
      <c r="K223" s="2">
        <v>43017</v>
      </c>
      <c r="L223" s="2" t="s">
        <v>122</v>
      </c>
      <c r="M223" s="2" t="s">
        <v>320</v>
      </c>
      <c r="N223" s="2" t="s">
        <v>41</v>
      </c>
      <c r="O223" s="2" t="s">
        <v>64</v>
      </c>
      <c r="P223" s="4">
        <v>19.776</v>
      </c>
      <c r="Q223" s="2">
        <v>4</v>
      </c>
      <c r="R223" s="3">
        <v>0.7</v>
      </c>
      <c r="S223" s="4">
        <v>-13.8432</v>
      </c>
      <c r="T223" s="2" t="str">
        <f>TEXT(SalesData[[#This Row],[Order Date]],"mmm")</f>
        <v>Dec</v>
      </c>
      <c r="U223" s="2">
        <f>YEAR(SalesData[[#This Row],[Order Date]])</f>
        <v>2015</v>
      </c>
      <c r="V223" s="2" t="str">
        <f>IF(SalesData[[#This Row],[Profit]]&gt;0,"Profit","Loss")</f>
        <v>Loss</v>
      </c>
      <c r="W223" s="2" t="str">
        <f>IF(SalesData[[#This Row],[Profit]]&gt;100,"High Profit",
IF(SalesData[[#This Row],[Profit]]&gt;0,"Low Profit","Loss"))</f>
        <v>Loss</v>
      </c>
      <c r="X223" s="2" t="str">
        <f>IF(AND(SalesData[[#This Row],[Sales]]&gt;500,SalesData[[#This Row],[Profit]]&gt;0),"Good Order","Review")</f>
        <v>Review</v>
      </c>
      <c r="Y223" s="2"/>
      <c r="Z223" s="2"/>
      <c r="AA223" s="2"/>
      <c r="AB223" s="2"/>
    </row>
    <row r="224" spans="1:28" x14ac:dyDescent="0.3">
      <c r="A224" s="2">
        <v>223</v>
      </c>
      <c r="B224" s="2" t="s">
        <v>658</v>
      </c>
      <c r="C224" s="5">
        <v>42362</v>
      </c>
      <c r="D224" s="2" t="s">
        <v>151</v>
      </c>
      <c r="E224" s="2" t="s">
        <v>659</v>
      </c>
      <c r="F224" s="2" t="s">
        <v>660</v>
      </c>
      <c r="G224" s="2" t="s">
        <v>23</v>
      </c>
      <c r="H224" s="2" t="s">
        <v>24</v>
      </c>
      <c r="I224" s="2" t="s">
        <v>661</v>
      </c>
      <c r="J224" s="2" t="s">
        <v>385</v>
      </c>
      <c r="K224" s="2">
        <v>43017</v>
      </c>
      <c r="L224" s="2" t="s">
        <v>122</v>
      </c>
      <c r="M224" s="2" t="s">
        <v>664</v>
      </c>
      <c r="N224" s="2" t="s">
        <v>29</v>
      </c>
      <c r="O224" s="2" t="s">
        <v>57</v>
      </c>
      <c r="P224" s="4">
        <v>72.703999999999994</v>
      </c>
      <c r="Q224" s="2">
        <v>4</v>
      </c>
      <c r="R224" s="3">
        <v>0.2</v>
      </c>
      <c r="S224" s="4">
        <v>19.084800000000001</v>
      </c>
      <c r="T224" s="2" t="str">
        <f>TEXT(SalesData[[#This Row],[Order Date]],"mmm")</f>
        <v>Dec</v>
      </c>
      <c r="U224" s="2">
        <f>YEAR(SalesData[[#This Row],[Order Date]])</f>
        <v>2015</v>
      </c>
      <c r="V224" s="2" t="str">
        <f>IF(SalesData[[#This Row],[Profit]]&gt;0,"Profit","Loss")</f>
        <v>Profit</v>
      </c>
      <c r="W224" s="2" t="str">
        <f>IF(SalesData[[#This Row],[Profit]]&gt;100,"High Profit",
IF(SalesData[[#This Row],[Profit]]&gt;0,"Low Profit","Loss"))</f>
        <v>Low Profit</v>
      </c>
      <c r="X224" s="2" t="str">
        <f>IF(AND(SalesData[[#This Row],[Sales]]&gt;500,SalesData[[#This Row],[Profit]]&gt;0),"Good Order","Review")</f>
        <v>Review</v>
      </c>
      <c r="Y224" s="2"/>
      <c r="Z224" s="2"/>
      <c r="AA224" s="2"/>
      <c r="AB224" s="2"/>
    </row>
    <row r="225" spans="1:28" x14ac:dyDescent="0.3">
      <c r="A225" s="2">
        <v>224</v>
      </c>
      <c r="B225" s="2" t="s">
        <v>658</v>
      </c>
      <c r="C225" s="5">
        <v>42362</v>
      </c>
      <c r="D225" s="2" t="s">
        <v>151</v>
      </c>
      <c r="E225" s="2" t="s">
        <v>659</v>
      </c>
      <c r="F225" s="2" t="s">
        <v>660</v>
      </c>
      <c r="G225" s="2" t="s">
        <v>23</v>
      </c>
      <c r="H225" s="2" t="s">
        <v>24</v>
      </c>
      <c r="I225" s="2" t="s">
        <v>661</v>
      </c>
      <c r="J225" s="2" t="s">
        <v>385</v>
      </c>
      <c r="K225" s="2">
        <v>43017</v>
      </c>
      <c r="L225" s="2" t="s">
        <v>122</v>
      </c>
      <c r="M225" s="2" t="s">
        <v>665</v>
      </c>
      <c r="N225" s="2" t="s">
        <v>61</v>
      </c>
      <c r="O225" s="2" t="s">
        <v>525</v>
      </c>
      <c r="P225" s="4">
        <v>479.988</v>
      </c>
      <c r="Q225" s="2">
        <v>4</v>
      </c>
      <c r="R225" s="3">
        <v>0.7</v>
      </c>
      <c r="S225" s="4">
        <v>-383.99040000000002</v>
      </c>
      <c r="T225" s="2" t="str">
        <f>TEXT(SalesData[[#This Row],[Order Date]],"mmm")</f>
        <v>Dec</v>
      </c>
      <c r="U225" s="2">
        <f>YEAR(SalesData[[#This Row],[Order Date]])</f>
        <v>2015</v>
      </c>
      <c r="V225" s="2" t="str">
        <f>IF(SalesData[[#This Row],[Profit]]&gt;0,"Profit","Loss")</f>
        <v>Loss</v>
      </c>
      <c r="W225" s="2" t="str">
        <f>IF(SalesData[[#This Row],[Profit]]&gt;100,"High Profit",
IF(SalesData[[#This Row],[Profit]]&gt;0,"Low Profit","Loss"))</f>
        <v>Loss</v>
      </c>
      <c r="X225" s="2" t="str">
        <f>IF(AND(SalesData[[#This Row],[Sales]]&gt;500,SalesData[[#This Row],[Profit]]&gt;0),"Good Order","Review")</f>
        <v>Review</v>
      </c>
      <c r="Y225" s="2"/>
      <c r="Z225" s="2"/>
      <c r="AA225" s="2"/>
      <c r="AB225" s="2"/>
    </row>
    <row r="226" spans="1:28" x14ac:dyDescent="0.3">
      <c r="A226" s="2">
        <v>225</v>
      </c>
      <c r="B226" s="2" t="s">
        <v>658</v>
      </c>
      <c r="C226" s="5">
        <v>42362</v>
      </c>
      <c r="D226" s="2" t="s">
        <v>151</v>
      </c>
      <c r="E226" s="2" t="s">
        <v>659</v>
      </c>
      <c r="F226" s="2" t="s">
        <v>660</v>
      </c>
      <c r="G226" s="2" t="s">
        <v>23</v>
      </c>
      <c r="H226" s="2" t="s">
        <v>24</v>
      </c>
      <c r="I226" s="2" t="s">
        <v>661</v>
      </c>
      <c r="J226" s="2" t="s">
        <v>385</v>
      </c>
      <c r="K226" s="2">
        <v>43017</v>
      </c>
      <c r="L226" s="2" t="s">
        <v>122</v>
      </c>
      <c r="M226" s="2" t="s">
        <v>666</v>
      </c>
      <c r="N226" s="2" t="s">
        <v>41</v>
      </c>
      <c r="O226" s="2" t="s">
        <v>59</v>
      </c>
      <c r="P226" s="4">
        <v>27.167999999999999</v>
      </c>
      <c r="Q226" s="2">
        <v>2</v>
      </c>
      <c r="R226" s="3">
        <v>0.2</v>
      </c>
      <c r="S226" s="4">
        <v>2.7168000000000001</v>
      </c>
      <c r="T226" s="2" t="str">
        <f>TEXT(SalesData[[#This Row],[Order Date]],"mmm")</f>
        <v>Dec</v>
      </c>
      <c r="U226" s="2">
        <f>YEAR(SalesData[[#This Row],[Order Date]])</f>
        <v>2015</v>
      </c>
      <c r="V226" s="2" t="str">
        <f>IF(SalesData[[#This Row],[Profit]]&gt;0,"Profit","Loss")</f>
        <v>Profit</v>
      </c>
      <c r="W226" s="2" t="str">
        <f>IF(SalesData[[#This Row],[Profit]]&gt;100,"High Profit",
IF(SalesData[[#This Row],[Profit]]&gt;0,"Low Profit","Loss"))</f>
        <v>Low Profit</v>
      </c>
      <c r="X226" s="2" t="str">
        <f>IF(AND(SalesData[[#This Row],[Sales]]&gt;500,SalesData[[#This Row],[Profit]]&gt;0),"Good Order","Review")</f>
        <v>Review</v>
      </c>
      <c r="Y226" s="2"/>
      <c r="Z226" s="2"/>
      <c r="AA226" s="2"/>
      <c r="AB226" s="2"/>
    </row>
    <row r="227" spans="1:28" x14ac:dyDescent="0.3">
      <c r="A227" s="2">
        <v>226</v>
      </c>
      <c r="B227" s="2" t="s">
        <v>667</v>
      </c>
      <c r="C227" s="5">
        <v>42255</v>
      </c>
      <c r="D227" s="2" t="s">
        <v>44</v>
      </c>
      <c r="E227" s="2" t="s">
        <v>668</v>
      </c>
      <c r="F227" s="2" t="s">
        <v>669</v>
      </c>
      <c r="G227" s="2" t="s">
        <v>36</v>
      </c>
      <c r="H227" s="2" t="s">
        <v>24</v>
      </c>
      <c r="I227" s="2" t="s">
        <v>670</v>
      </c>
      <c r="J227" s="2" t="s">
        <v>190</v>
      </c>
      <c r="K227" s="2">
        <v>48227</v>
      </c>
      <c r="L227" s="2" t="s">
        <v>88</v>
      </c>
      <c r="M227" s="2" t="s">
        <v>671</v>
      </c>
      <c r="N227" s="2" t="s">
        <v>41</v>
      </c>
      <c r="O227" s="2" t="s">
        <v>59</v>
      </c>
      <c r="P227" s="4">
        <v>2.2000000000000002</v>
      </c>
      <c r="Q227" s="2">
        <v>1</v>
      </c>
      <c r="R227" s="3">
        <v>0</v>
      </c>
      <c r="S227" s="4">
        <v>0.96799999999999997</v>
      </c>
      <c r="T227" s="2" t="str">
        <f>TEXT(SalesData[[#This Row],[Order Date]],"mmm")</f>
        <v>Sep</v>
      </c>
      <c r="U227" s="2">
        <f>YEAR(SalesData[[#This Row],[Order Date]])</f>
        <v>2015</v>
      </c>
      <c r="V227" s="2" t="str">
        <f>IF(SalesData[[#This Row],[Profit]]&gt;0,"Profit","Loss")</f>
        <v>Profit</v>
      </c>
      <c r="W227" s="2" t="str">
        <f>IF(SalesData[[#This Row],[Profit]]&gt;100,"High Profit",
IF(SalesData[[#This Row],[Profit]]&gt;0,"Low Profit","Loss"))</f>
        <v>Low Profit</v>
      </c>
      <c r="X227" s="2" t="str">
        <f>IF(AND(SalesData[[#This Row],[Sales]]&gt;500,SalesData[[#This Row],[Profit]]&gt;0),"Good Order","Review")</f>
        <v>Review</v>
      </c>
      <c r="Y227" s="2"/>
      <c r="Z227" s="2"/>
      <c r="AA227" s="2"/>
      <c r="AB227" s="2"/>
    </row>
    <row r="228" spans="1:28" x14ac:dyDescent="0.3">
      <c r="A228" s="2">
        <v>227</v>
      </c>
      <c r="B228" s="2" t="s">
        <v>667</v>
      </c>
      <c r="C228" s="5">
        <v>42255</v>
      </c>
      <c r="D228" s="2" t="s">
        <v>44</v>
      </c>
      <c r="E228" s="2" t="s">
        <v>668</v>
      </c>
      <c r="F228" s="2" t="s">
        <v>669</v>
      </c>
      <c r="G228" s="2" t="s">
        <v>36</v>
      </c>
      <c r="H228" s="2" t="s">
        <v>24</v>
      </c>
      <c r="I228" s="2" t="s">
        <v>670</v>
      </c>
      <c r="J228" s="2" t="s">
        <v>190</v>
      </c>
      <c r="K228" s="2">
        <v>48227</v>
      </c>
      <c r="L228" s="2" t="s">
        <v>88</v>
      </c>
      <c r="M228" s="2" t="s">
        <v>672</v>
      </c>
      <c r="N228" s="2" t="s">
        <v>29</v>
      </c>
      <c r="O228" s="2" t="s">
        <v>50</v>
      </c>
      <c r="P228" s="4">
        <v>622.45000000000005</v>
      </c>
      <c r="Q228" s="2">
        <v>5</v>
      </c>
      <c r="R228" s="3">
        <v>0</v>
      </c>
      <c r="S228" s="4">
        <v>136.93899999999999</v>
      </c>
      <c r="T228" s="2" t="str">
        <f>TEXT(SalesData[[#This Row],[Order Date]],"mmm")</f>
        <v>Sep</v>
      </c>
      <c r="U228" s="2">
        <f>YEAR(SalesData[[#This Row],[Order Date]])</f>
        <v>2015</v>
      </c>
      <c r="V228" s="2" t="str">
        <f>IF(SalesData[[#This Row],[Profit]]&gt;0,"Profit","Loss")</f>
        <v>Profit</v>
      </c>
      <c r="W228" s="2" t="str">
        <f>IF(SalesData[[#This Row],[Profit]]&gt;100,"High Profit",
IF(SalesData[[#This Row],[Profit]]&gt;0,"Low Profit","Loss"))</f>
        <v>High Profit</v>
      </c>
      <c r="X228" s="2" t="str">
        <f>IF(AND(SalesData[[#This Row],[Sales]]&gt;500,SalesData[[#This Row],[Profit]]&gt;0),"Good Order","Review")</f>
        <v>Good Order</v>
      </c>
      <c r="Y228" s="2"/>
      <c r="Z228" s="2"/>
      <c r="AA228" s="2"/>
      <c r="AB228" s="2"/>
    </row>
    <row r="229" spans="1:28" x14ac:dyDescent="0.3">
      <c r="A229" s="2">
        <v>228</v>
      </c>
      <c r="B229" s="2" t="s">
        <v>667</v>
      </c>
      <c r="C229" s="5">
        <v>42255</v>
      </c>
      <c r="D229" s="2" t="s">
        <v>44</v>
      </c>
      <c r="E229" s="2" t="s">
        <v>668</v>
      </c>
      <c r="F229" s="2" t="s">
        <v>669</v>
      </c>
      <c r="G229" s="2" t="s">
        <v>36</v>
      </c>
      <c r="H229" s="2" t="s">
        <v>24</v>
      </c>
      <c r="I229" s="2" t="s">
        <v>670</v>
      </c>
      <c r="J229" s="2" t="s">
        <v>190</v>
      </c>
      <c r="K229" s="2">
        <v>48227</v>
      </c>
      <c r="L229" s="2" t="s">
        <v>88</v>
      </c>
      <c r="M229" s="2" t="s">
        <v>673</v>
      </c>
      <c r="N229" s="2" t="s">
        <v>41</v>
      </c>
      <c r="O229" s="2" t="s">
        <v>52</v>
      </c>
      <c r="P229" s="4">
        <v>21.98</v>
      </c>
      <c r="Q229" s="2">
        <v>1</v>
      </c>
      <c r="R229" s="3">
        <v>0</v>
      </c>
      <c r="S229" s="4">
        <v>0.2198</v>
      </c>
      <c r="T229" s="2" t="str">
        <f>TEXT(SalesData[[#This Row],[Order Date]],"mmm")</f>
        <v>Sep</v>
      </c>
      <c r="U229" s="2">
        <f>YEAR(SalesData[[#This Row],[Order Date]])</f>
        <v>2015</v>
      </c>
      <c r="V229" s="2" t="str">
        <f>IF(SalesData[[#This Row],[Profit]]&gt;0,"Profit","Loss")</f>
        <v>Profit</v>
      </c>
      <c r="W229" s="2" t="str">
        <f>IF(SalesData[[#This Row],[Profit]]&gt;100,"High Profit",
IF(SalesData[[#This Row],[Profit]]&gt;0,"Low Profit","Loss"))</f>
        <v>Low Profit</v>
      </c>
      <c r="X229" s="2" t="str">
        <f>IF(AND(SalesData[[#This Row],[Sales]]&gt;500,SalesData[[#This Row],[Profit]]&gt;0),"Good Order","Review")</f>
        <v>Review</v>
      </c>
      <c r="Y229" s="2"/>
      <c r="Z229" s="2"/>
      <c r="AA229" s="2"/>
      <c r="AB229" s="2"/>
    </row>
    <row r="230" spans="1:28" x14ac:dyDescent="0.3">
      <c r="A230" s="2">
        <v>229</v>
      </c>
      <c r="B230" s="2" t="s">
        <v>674</v>
      </c>
      <c r="C230" s="5">
        <v>42063</v>
      </c>
      <c r="D230" s="2" t="s">
        <v>44</v>
      </c>
      <c r="E230" s="2" t="s">
        <v>675</v>
      </c>
      <c r="F230" s="2" t="s">
        <v>676</v>
      </c>
      <c r="G230" s="2" t="s">
        <v>23</v>
      </c>
      <c r="H230" s="2" t="s">
        <v>24</v>
      </c>
      <c r="I230" s="2" t="s">
        <v>296</v>
      </c>
      <c r="J230" s="2" t="s">
        <v>262</v>
      </c>
      <c r="K230" s="2">
        <v>38401</v>
      </c>
      <c r="L230" s="2" t="s">
        <v>27</v>
      </c>
      <c r="M230" s="2" t="s">
        <v>677</v>
      </c>
      <c r="N230" s="2" t="s">
        <v>29</v>
      </c>
      <c r="O230" s="2" t="s">
        <v>32</v>
      </c>
      <c r="P230" s="4">
        <v>161.56800000000001</v>
      </c>
      <c r="Q230" s="2">
        <v>2</v>
      </c>
      <c r="R230" s="3">
        <v>0.2</v>
      </c>
      <c r="S230" s="4">
        <v>-28.2744</v>
      </c>
      <c r="T230" s="2" t="str">
        <f>TEXT(SalesData[[#This Row],[Order Date]],"mmm")</f>
        <v>Feb</v>
      </c>
      <c r="U230" s="2">
        <f>YEAR(SalesData[[#This Row],[Order Date]])</f>
        <v>2015</v>
      </c>
      <c r="V230" s="2" t="str">
        <f>IF(SalesData[[#This Row],[Profit]]&gt;0,"Profit","Loss")</f>
        <v>Loss</v>
      </c>
      <c r="W230" s="2" t="str">
        <f>IF(SalesData[[#This Row],[Profit]]&gt;100,"High Profit",
IF(SalesData[[#This Row],[Profit]]&gt;0,"Low Profit","Loss"))</f>
        <v>Loss</v>
      </c>
      <c r="X230" s="2" t="str">
        <f>IF(AND(SalesData[[#This Row],[Sales]]&gt;500,SalesData[[#This Row],[Profit]]&gt;0),"Good Order","Review")</f>
        <v>Review</v>
      </c>
      <c r="Y230" s="2"/>
      <c r="Z230" s="2"/>
      <c r="AA230" s="2"/>
      <c r="AB230" s="2"/>
    </row>
    <row r="231" spans="1:28" x14ac:dyDescent="0.3">
      <c r="A231" s="2">
        <v>230</v>
      </c>
      <c r="B231" s="2" t="s">
        <v>674</v>
      </c>
      <c r="C231" s="5">
        <v>42063</v>
      </c>
      <c r="D231" s="2" t="s">
        <v>44</v>
      </c>
      <c r="E231" s="2" t="s">
        <v>675</v>
      </c>
      <c r="F231" s="2" t="s">
        <v>676</v>
      </c>
      <c r="G231" s="2" t="s">
        <v>23</v>
      </c>
      <c r="H231" s="2" t="s">
        <v>24</v>
      </c>
      <c r="I231" s="2" t="s">
        <v>296</v>
      </c>
      <c r="J231" s="2" t="s">
        <v>262</v>
      </c>
      <c r="K231" s="2">
        <v>38401</v>
      </c>
      <c r="L231" s="2" t="s">
        <v>27</v>
      </c>
      <c r="M231" s="2" t="s">
        <v>678</v>
      </c>
      <c r="N231" s="2" t="s">
        <v>29</v>
      </c>
      <c r="O231" s="2" t="s">
        <v>32</v>
      </c>
      <c r="P231" s="4">
        <v>389.69600000000003</v>
      </c>
      <c r="Q231" s="2">
        <v>8</v>
      </c>
      <c r="R231" s="3">
        <v>0.2</v>
      </c>
      <c r="S231" s="4">
        <v>43.840800000000002</v>
      </c>
      <c r="T231" s="2" t="str">
        <f>TEXT(SalesData[[#This Row],[Order Date]],"mmm")</f>
        <v>Feb</v>
      </c>
      <c r="U231" s="2">
        <f>YEAR(SalesData[[#This Row],[Order Date]])</f>
        <v>2015</v>
      </c>
      <c r="V231" s="2" t="str">
        <f>IF(SalesData[[#This Row],[Profit]]&gt;0,"Profit","Loss")</f>
        <v>Profit</v>
      </c>
      <c r="W231" s="2" t="str">
        <f>IF(SalesData[[#This Row],[Profit]]&gt;100,"High Profit",
IF(SalesData[[#This Row],[Profit]]&gt;0,"Low Profit","Loss"))</f>
        <v>Low Profit</v>
      </c>
      <c r="X231" s="2" t="str">
        <f>IF(AND(SalesData[[#This Row],[Sales]]&gt;500,SalesData[[#This Row],[Profit]]&gt;0),"Good Order","Review")</f>
        <v>Review</v>
      </c>
      <c r="Y231" s="2"/>
      <c r="Z231" s="2"/>
      <c r="AA231" s="2"/>
      <c r="AB231" s="2"/>
    </row>
    <row r="232" spans="1:28" x14ac:dyDescent="0.3">
      <c r="A232" s="2">
        <v>231</v>
      </c>
      <c r="B232" s="2" t="s">
        <v>679</v>
      </c>
      <c r="C232" s="5">
        <v>41893</v>
      </c>
      <c r="D232" s="2" t="s">
        <v>44</v>
      </c>
      <c r="E232" s="2" t="s">
        <v>680</v>
      </c>
      <c r="F232" s="2" t="s">
        <v>681</v>
      </c>
      <c r="G232" s="2" t="s">
        <v>36</v>
      </c>
      <c r="H232" s="2" t="s">
        <v>24</v>
      </c>
      <c r="I232" s="2" t="s">
        <v>361</v>
      </c>
      <c r="J232" s="2" t="s">
        <v>73</v>
      </c>
      <c r="K232" s="2">
        <v>28205</v>
      </c>
      <c r="L232" s="2" t="s">
        <v>27</v>
      </c>
      <c r="M232" s="2" t="s">
        <v>682</v>
      </c>
      <c r="N232" s="2" t="s">
        <v>41</v>
      </c>
      <c r="O232" s="2" t="s">
        <v>64</v>
      </c>
      <c r="P232" s="4">
        <v>18.648</v>
      </c>
      <c r="Q232" s="2">
        <v>7</v>
      </c>
      <c r="R232" s="3">
        <v>0.7</v>
      </c>
      <c r="S232" s="4">
        <v>-12.432</v>
      </c>
      <c r="T232" s="2" t="str">
        <f>TEXT(SalesData[[#This Row],[Order Date]],"mmm")</f>
        <v>Sep</v>
      </c>
      <c r="U232" s="2">
        <f>YEAR(SalesData[[#This Row],[Order Date]])</f>
        <v>2014</v>
      </c>
      <c r="V232" s="2" t="str">
        <f>IF(SalesData[[#This Row],[Profit]]&gt;0,"Profit","Loss")</f>
        <v>Loss</v>
      </c>
      <c r="W232" s="2" t="str">
        <f>IF(SalesData[[#This Row],[Profit]]&gt;100,"High Profit",
IF(SalesData[[#This Row],[Profit]]&gt;0,"Low Profit","Loss"))</f>
        <v>Loss</v>
      </c>
      <c r="X232" s="2" t="str">
        <f>IF(AND(SalesData[[#This Row],[Sales]]&gt;500,SalesData[[#This Row],[Profit]]&gt;0),"Good Order","Review")</f>
        <v>Review</v>
      </c>
      <c r="Y232" s="2"/>
      <c r="Z232" s="2"/>
      <c r="AA232" s="2"/>
      <c r="AB232" s="2"/>
    </row>
    <row r="233" spans="1:28" x14ac:dyDescent="0.3">
      <c r="A233" s="2">
        <v>232</v>
      </c>
      <c r="B233" s="2" t="s">
        <v>683</v>
      </c>
      <c r="C233" s="5">
        <v>42920</v>
      </c>
      <c r="D233" s="2" t="s">
        <v>44</v>
      </c>
      <c r="E233" s="2" t="s">
        <v>292</v>
      </c>
      <c r="F233" s="2" t="s">
        <v>293</v>
      </c>
      <c r="G233" s="2" t="s">
        <v>85</v>
      </c>
      <c r="H233" s="2" t="s">
        <v>24</v>
      </c>
      <c r="I233" s="2" t="s">
        <v>684</v>
      </c>
      <c r="J233" s="2" t="s">
        <v>48</v>
      </c>
      <c r="K233" s="2">
        <v>33614</v>
      </c>
      <c r="L233" s="2" t="s">
        <v>27</v>
      </c>
      <c r="M233" s="2" t="s">
        <v>685</v>
      </c>
      <c r="N233" s="2" t="s">
        <v>29</v>
      </c>
      <c r="O233" s="2" t="s">
        <v>50</v>
      </c>
      <c r="P233" s="4">
        <v>233.86</v>
      </c>
      <c r="Q233" s="2">
        <v>2</v>
      </c>
      <c r="R233" s="3">
        <v>0.45</v>
      </c>
      <c r="S233" s="4">
        <v>-102.048</v>
      </c>
      <c r="T233" s="2" t="str">
        <f>TEXT(SalesData[[#This Row],[Order Date]],"mmm")</f>
        <v>Jul</v>
      </c>
      <c r="U233" s="2">
        <f>YEAR(SalesData[[#This Row],[Order Date]])</f>
        <v>2017</v>
      </c>
      <c r="V233" s="2" t="str">
        <f>IF(SalesData[[#This Row],[Profit]]&gt;0,"Profit","Loss")</f>
        <v>Loss</v>
      </c>
      <c r="W233" s="2" t="str">
        <f>IF(SalesData[[#This Row],[Profit]]&gt;100,"High Profit",
IF(SalesData[[#This Row],[Profit]]&gt;0,"Low Profit","Loss"))</f>
        <v>Loss</v>
      </c>
      <c r="X233" s="2" t="str">
        <f>IF(AND(SalesData[[#This Row],[Sales]]&gt;500,SalesData[[#This Row],[Profit]]&gt;0),"Good Order","Review")</f>
        <v>Review</v>
      </c>
      <c r="Y233" s="2"/>
      <c r="Z233" s="2"/>
      <c r="AA233" s="2"/>
      <c r="AB233" s="2"/>
    </row>
    <row r="234" spans="1:28" x14ac:dyDescent="0.3">
      <c r="A234" s="2">
        <v>233</v>
      </c>
      <c r="B234" s="2" t="s">
        <v>683</v>
      </c>
      <c r="C234" s="5">
        <v>42920</v>
      </c>
      <c r="D234" s="2" t="s">
        <v>44</v>
      </c>
      <c r="E234" s="2" t="s">
        <v>292</v>
      </c>
      <c r="F234" s="2" t="s">
        <v>293</v>
      </c>
      <c r="G234" s="2" t="s">
        <v>85</v>
      </c>
      <c r="H234" s="2" t="s">
        <v>24</v>
      </c>
      <c r="I234" s="2" t="s">
        <v>684</v>
      </c>
      <c r="J234" s="2" t="s">
        <v>48</v>
      </c>
      <c r="K234" s="2">
        <v>33614</v>
      </c>
      <c r="L234" s="2" t="s">
        <v>27</v>
      </c>
      <c r="M234" s="2" t="s">
        <v>686</v>
      </c>
      <c r="N234" s="2" t="s">
        <v>29</v>
      </c>
      <c r="O234" s="2" t="s">
        <v>50</v>
      </c>
      <c r="P234" s="4">
        <v>620.61450000000002</v>
      </c>
      <c r="Q234" s="2">
        <v>3</v>
      </c>
      <c r="R234" s="3">
        <v>0.45</v>
      </c>
      <c r="S234" s="4">
        <v>-248.2458</v>
      </c>
      <c r="T234" s="2" t="str">
        <f>TEXT(SalesData[[#This Row],[Order Date]],"mmm")</f>
        <v>Jul</v>
      </c>
      <c r="U234" s="2">
        <f>YEAR(SalesData[[#This Row],[Order Date]])</f>
        <v>2017</v>
      </c>
      <c r="V234" s="2" t="str">
        <f>IF(SalesData[[#This Row],[Profit]]&gt;0,"Profit","Loss")</f>
        <v>Loss</v>
      </c>
      <c r="W234" s="2" t="str">
        <f>IF(SalesData[[#This Row],[Profit]]&gt;100,"High Profit",
IF(SalesData[[#This Row],[Profit]]&gt;0,"Low Profit","Loss"))</f>
        <v>Loss</v>
      </c>
      <c r="X234" s="2" t="str">
        <f>IF(AND(SalesData[[#This Row],[Sales]]&gt;500,SalesData[[#This Row],[Profit]]&gt;0),"Good Order","Review")</f>
        <v>Review</v>
      </c>
      <c r="Y234" s="2"/>
      <c r="Z234" s="2"/>
      <c r="AA234" s="2"/>
      <c r="AB234" s="2"/>
    </row>
    <row r="235" spans="1:28" x14ac:dyDescent="0.3">
      <c r="A235" s="2">
        <v>234</v>
      </c>
      <c r="B235" s="2" t="s">
        <v>683</v>
      </c>
      <c r="C235" s="5">
        <v>42920</v>
      </c>
      <c r="D235" s="2" t="s">
        <v>44</v>
      </c>
      <c r="E235" s="2" t="s">
        <v>292</v>
      </c>
      <c r="F235" s="2" t="s">
        <v>293</v>
      </c>
      <c r="G235" s="2" t="s">
        <v>85</v>
      </c>
      <c r="H235" s="2" t="s">
        <v>24</v>
      </c>
      <c r="I235" s="2" t="s">
        <v>684</v>
      </c>
      <c r="J235" s="2" t="s">
        <v>48</v>
      </c>
      <c r="K235" s="2">
        <v>33614</v>
      </c>
      <c r="L235" s="2" t="s">
        <v>27</v>
      </c>
      <c r="M235" s="2" t="s">
        <v>682</v>
      </c>
      <c r="N235" s="2" t="s">
        <v>41</v>
      </c>
      <c r="O235" s="2" t="s">
        <v>64</v>
      </c>
      <c r="P235" s="4">
        <v>5.3280000000000003</v>
      </c>
      <c r="Q235" s="2">
        <v>2</v>
      </c>
      <c r="R235" s="3">
        <v>0.7</v>
      </c>
      <c r="S235" s="4">
        <v>-3.552</v>
      </c>
      <c r="T235" s="2" t="str">
        <f>TEXT(SalesData[[#This Row],[Order Date]],"mmm")</f>
        <v>Jul</v>
      </c>
      <c r="U235" s="2">
        <f>YEAR(SalesData[[#This Row],[Order Date]])</f>
        <v>2017</v>
      </c>
      <c r="V235" s="2" t="str">
        <f>IF(SalesData[[#This Row],[Profit]]&gt;0,"Profit","Loss")</f>
        <v>Loss</v>
      </c>
      <c r="W235" s="2" t="str">
        <f>IF(SalesData[[#This Row],[Profit]]&gt;100,"High Profit",
IF(SalesData[[#This Row],[Profit]]&gt;0,"Low Profit","Loss"))</f>
        <v>Loss</v>
      </c>
      <c r="X235" s="2" t="str">
        <f>IF(AND(SalesData[[#This Row],[Sales]]&gt;500,SalesData[[#This Row],[Profit]]&gt;0),"Good Order","Review")</f>
        <v>Review</v>
      </c>
      <c r="Y235" s="2"/>
      <c r="Z235" s="2"/>
      <c r="AA235" s="2"/>
      <c r="AB235" s="2"/>
    </row>
    <row r="236" spans="1:28" x14ac:dyDescent="0.3">
      <c r="A236" s="2">
        <v>235</v>
      </c>
      <c r="B236" s="2" t="s">
        <v>683</v>
      </c>
      <c r="C236" s="5">
        <v>42920</v>
      </c>
      <c r="D236" s="2" t="s">
        <v>44</v>
      </c>
      <c r="E236" s="2" t="s">
        <v>292</v>
      </c>
      <c r="F236" s="2" t="s">
        <v>293</v>
      </c>
      <c r="G236" s="2" t="s">
        <v>85</v>
      </c>
      <c r="H236" s="2" t="s">
        <v>24</v>
      </c>
      <c r="I236" s="2" t="s">
        <v>684</v>
      </c>
      <c r="J236" s="2" t="s">
        <v>48</v>
      </c>
      <c r="K236" s="2">
        <v>33614</v>
      </c>
      <c r="L236" s="2" t="s">
        <v>27</v>
      </c>
      <c r="M236" s="2" t="s">
        <v>687</v>
      </c>
      <c r="N236" s="2" t="s">
        <v>29</v>
      </c>
      <c r="O236" s="2" t="s">
        <v>57</v>
      </c>
      <c r="P236" s="4">
        <v>258.072</v>
      </c>
      <c r="Q236" s="2">
        <v>3</v>
      </c>
      <c r="R236" s="3">
        <v>0.2</v>
      </c>
      <c r="S236" s="4">
        <v>0</v>
      </c>
      <c r="T236" s="2" t="str">
        <f>TEXT(SalesData[[#This Row],[Order Date]],"mmm")</f>
        <v>Jul</v>
      </c>
      <c r="U236" s="2">
        <f>YEAR(SalesData[[#This Row],[Order Date]])</f>
        <v>2017</v>
      </c>
      <c r="V236" s="2" t="str">
        <f>IF(SalesData[[#This Row],[Profit]]&gt;0,"Profit","Loss")</f>
        <v>Loss</v>
      </c>
      <c r="W236" s="2" t="str">
        <f>IF(SalesData[[#This Row],[Profit]]&gt;100,"High Profit",
IF(SalesData[[#This Row],[Profit]]&gt;0,"Low Profit","Loss"))</f>
        <v>Loss</v>
      </c>
      <c r="X236" s="2" t="str">
        <f>IF(AND(SalesData[[#This Row],[Sales]]&gt;500,SalesData[[#This Row],[Profit]]&gt;0),"Good Order","Review")</f>
        <v>Review</v>
      </c>
      <c r="Y236" s="2"/>
      <c r="Z236" s="2"/>
      <c r="AA236" s="2"/>
      <c r="AB236" s="2"/>
    </row>
    <row r="237" spans="1:28" x14ac:dyDescent="0.3">
      <c r="A237" s="2">
        <v>236</v>
      </c>
      <c r="B237" s="2" t="s">
        <v>683</v>
      </c>
      <c r="C237" s="5">
        <v>42920</v>
      </c>
      <c r="D237" s="2" t="s">
        <v>44</v>
      </c>
      <c r="E237" s="2" t="s">
        <v>292</v>
      </c>
      <c r="F237" s="2" t="s">
        <v>293</v>
      </c>
      <c r="G237" s="2" t="s">
        <v>85</v>
      </c>
      <c r="H237" s="2" t="s">
        <v>24</v>
      </c>
      <c r="I237" s="2" t="s">
        <v>684</v>
      </c>
      <c r="J237" s="2" t="s">
        <v>48</v>
      </c>
      <c r="K237" s="2">
        <v>33614</v>
      </c>
      <c r="L237" s="2" t="s">
        <v>27</v>
      </c>
      <c r="M237" s="2" t="s">
        <v>688</v>
      </c>
      <c r="N237" s="2" t="s">
        <v>61</v>
      </c>
      <c r="O237" s="2" t="s">
        <v>133</v>
      </c>
      <c r="P237" s="4">
        <v>617.976</v>
      </c>
      <c r="Q237" s="2">
        <v>3</v>
      </c>
      <c r="R237" s="3">
        <v>0.2</v>
      </c>
      <c r="S237" s="4">
        <v>-7.7247000000000003</v>
      </c>
      <c r="T237" s="2" t="str">
        <f>TEXT(SalesData[[#This Row],[Order Date]],"mmm")</f>
        <v>Jul</v>
      </c>
      <c r="U237" s="2">
        <f>YEAR(SalesData[[#This Row],[Order Date]])</f>
        <v>2017</v>
      </c>
      <c r="V237" s="2" t="str">
        <f>IF(SalesData[[#This Row],[Profit]]&gt;0,"Profit","Loss")</f>
        <v>Loss</v>
      </c>
      <c r="W237" s="2" t="str">
        <f>IF(SalesData[[#This Row],[Profit]]&gt;100,"High Profit",
IF(SalesData[[#This Row],[Profit]]&gt;0,"Low Profit","Loss"))</f>
        <v>Loss</v>
      </c>
      <c r="X237" s="2" t="str">
        <f>IF(AND(SalesData[[#This Row],[Sales]]&gt;500,SalesData[[#This Row],[Profit]]&gt;0),"Good Order","Review")</f>
        <v>Review</v>
      </c>
      <c r="Y237" s="2"/>
      <c r="Z237" s="2"/>
      <c r="AA237" s="2"/>
      <c r="AB237" s="2"/>
    </row>
    <row r="238" spans="1:28" x14ac:dyDescent="0.3">
      <c r="A238" s="2">
        <v>237</v>
      </c>
      <c r="B238" s="2" t="s">
        <v>689</v>
      </c>
      <c r="C238" s="5">
        <v>43080</v>
      </c>
      <c r="D238" s="2" t="s">
        <v>44</v>
      </c>
      <c r="E238" s="2" t="s">
        <v>690</v>
      </c>
      <c r="F238" s="2" t="s">
        <v>691</v>
      </c>
      <c r="G238" s="2" t="s">
        <v>36</v>
      </c>
      <c r="H238" s="2" t="s">
        <v>24</v>
      </c>
      <c r="I238" s="2" t="s">
        <v>692</v>
      </c>
      <c r="J238" s="2" t="s">
        <v>38</v>
      </c>
      <c r="K238" s="2">
        <v>95051</v>
      </c>
      <c r="L238" s="2" t="s">
        <v>39</v>
      </c>
      <c r="M238" s="2" t="s">
        <v>693</v>
      </c>
      <c r="N238" s="2" t="s">
        <v>41</v>
      </c>
      <c r="O238" s="2" t="s">
        <v>75</v>
      </c>
      <c r="P238" s="4">
        <v>10.56</v>
      </c>
      <c r="Q238" s="2">
        <v>2</v>
      </c>
      <c r="R238" s="3">
        <v>0</v>
      </c>
      <c r="S238" s="4">
        <v>4.7519999999999998</v>
      </c>
      <c r="T238" s="2" t="str">
        <f>TEXT(SalesData[[#This Row],[Order Date]],"mmm")</f>
        <v>Dec</v>
      </c>
      <c r="U238" s="2">
        <f>YEAR(SalesData[[#This Row],[Order Date]])</f>
        <v>2017</v>
      </c>
      <c r="V238" s="2" t="str">
        <f>IF(SalesData[[#This Row],[Profit]]&gt;0,"Profit","Loss")</f>
        <v>Profit</v>
      </c>
      <c r="W238" s="2" t="str">
        <f>IF(SalesData[[#This Row],[Profit]]&gt;100,"High Profit",
IF(SalesData[[#This Row],[Profit]]&gt;0,"Low Profit","Loss"))</f>
        <v>Low Profit</v>
      </c>
      <c r="X238" s="2" t="str">
        <f>IF(AND(SalesData[[#This Row],[Sales]]&gt;500,SalesData[[#This Row],[Profit]]&gt;0),"Good Order","Review")</f>
        <v>Review</v>
      </c>
      <c r="Y238" s="2"/>
      <c r="Z238" s="2"/>
      <c r="AA238" s="2"/>
      <c r="AB238" s="2"/>
    </row>
    <row r="239" spans="1:28" x14ac:dyDescent="0.3">
      <c r="A239" s="2">
        <v>238</v>
      </c>
      <c r="B239" s="2" t="s">
        <v>694</v>
      </c>
      <c r="C239" s="5">
        <v>42466</v>
      </c>
      <c r="D239" s="2" t="s">
        <v>20</v>
      </c>
      <c r="E239" s="2" t="s">
        <v>695</v>
      </c>
      <c r="F239" s="2" t="s">
        <v>696</v>
      </c>
      <c r="G239" s="2" t="s">
        <v>23</v>
      </c>
      <c r="H239" s="2" t="s">
        <v>24</v>
      </c>
      <c r="I239" s="2" t="s">
        <v>236</v>
      </c>
      <c r="J239" s="2" t="s">
        <v>168</v>
      </c>
      <c r="K239" s="2">
        <v>60610</v>
      </c>
      <c r="L239" s="2" t="s">
        <v>88</v>
      </c>
      <c r="M239" s="2" t="s">
        <v>697</v>
      </c>
      <c r="N239" s="2" t="s">
        <v>41</v>
      </c>
      <c r="O239" s="2" t="s">
        <v>75</v>
      </c>
      <c r="P239" s="4">
        <v>25.92</v>
      </c>
      <c r="Q239" s="2">
        <v>5</v>
      </c>
      <c r="R239" s="3">
        <v>0.2</v>
      </c>
      <c r="S239" s="4">
        <v>9.3960000000000008</v>
      </c>
      <c r="T239" s="2" t="str">
        <f>TEXT(SalesData[[#This Row],[Order Date]],"mmm")</f>
        <v>Apr</v>
      </c>
      <c r="U239" s="2">
        <f>YEAR(SalesData[[#This Row],[Order Date]])</f>
        <v>2016</v>
      </c>
      <c r="V239" s="2" t="str">
        <f>IF(SalesData[[#This Row],[Profit]]&gt;0,"Profit","Loss")</f>
        <v>Profit</v>
      </c>
      <c r="W239" s="2" t="str">
        <f>IF(SalesData[[#This Row],[Profit]]&gt;100,"High Profit",
IF(SalesData[[#This Row],[Profit]]&gt;0,"Low Profit","Loss"))</f>
        <v>Low Profit</v>
      </c>
      <c r="X239" s="2" t="str">
        <f>IF(AND(SalesData[[#This Row],[Sales]]&gt;500,SalesData[[#This Row],[Profit]]&gt;0),"Good Order","Review")</f>
        <v>Review</v>
      </c>
      <c r="Y239" s="2"/>
      <c r="Z239" s="2"/>
      <c r="AA239" s="2"/>
      <c r="AB239" s="2"/>
    </row>
    <row r="240" spans="1:28" x14ac:dyDescent="0.3">
      <c r="A240" s="2">
        <v>239</v>
      </c>
      <c r="B240" s="2" t="s">
        <v>694</v>
      </c>
      <c r="C240" s="5">
        <v>42466</v>
      </c>
      <c r="D240" s="2" t="s">
        <v>20</v>
      </c>
      <c r="E240" s="2" t="s">
        <v>695</v>
      </c>
      <c r="F240" s="2" t="s">
        <v>696</v>
      </c>
      <c r="G240" s="2" t="s">
        <v>23</v>
      </c>
      <c r="H240" s="2" t="s">
        <v>24</v>
      </c>
      <c r="I240" s="2" t="s">
        <v>236</v>
      </c>
      <c r="J240" s="2" t="s">
        <v>168</v>
      </c>
      <c r="K240" s="2">
        <v>60610</v>
      </c>
      <c r="L240" s="2" t="s">
        <v>88</v>
      </c>
      <c r="M240" s="2" t="s">
        <v>698</v>
      </c>
      <c r="N240" s="2" t="s">
        <v>29</v>
      </c>
      <c r="O240" s="2" t="s">
        <v>57</v>
      </c>
      <c r="P240" s="4">
        <v>419.68</v>
      </c>
      <c r="Q240" s="2">
        <v>5</v>
      </c>
      <c r="R240" s="3">
        <v>0.6</v>
      </c>
      <c r="S240" s="4">
        <v>-356.72800000000001</v>
      </c>
      <c r="T240" s="2" t="str">
        <f>TEXT(SalesData[[#This Row],[Order Date]],"mmm")</f>
        <v>Apr</v>
      </c>
      <c r="U240" s="2">
        <f>YEAR(SalesData[[#This Row],[Order Date]])</f>
        <v>2016</v>
      </c>
      <c r="V240" s="2" t="str">
        <f>IF(SalesData[[#This Row],[Profit]]&gt;0,"Profit","Loss")</f>
        <v>Loss</v>
      </c>
      <c r="W240" s="2" t="str">
        <f>IF(SalesData[[#This Row],[Profit]]&gt;100,"High Profit",
IF(SalesData[[#This Row],[Profit]]&gt;0,"Low Profit","Loss"))</f>
        <v>Loss</v>
      </c>
      <c r="X240" s="2" t="str">
        <f>IF(AND(SalesData[[#This Row],[Sales]]&gt;500,SalesData[[#This Row],[Profit]]&gt;0),"Good Order","Review")</f>
        <v>Review</v>
      </c>
      <c r="Y240" s="2"/>
      <c r="Z240" s="2"/>
      <c r="AA240" s="2"/>
      <c r="AB240" s="2"/>
    </row>
    <row r="241" spans="1:28" x14ac:dyDescent="0.3">
      <c r="A241" s="2">
        <v>240</v>
      </c>
      <c r="B241" s="2" t="s">
        <v>694</v>
      </c>
      <c r="C241" s="5">
        <v>42466</v>
      </c>
      <c r="D241" s="2" t="s">
        <v>20</v>
      </c>
      <c r="E241" s="2" t="s">
        <v>695</v>
      </c>
      <c r="F241" s="2" t="s">
        <v>696</v>
      </c>
      <c r="G241" s="2" t="s">
        <v>23</v>
      </c>
      <c r="H241" s="2" t="s">
        <v>24</v>
      </c>
      <c r="I241" s="2" t="s">
        <v>236</v>
      </c>
      <c r="J241" s="2" t="s">
        <v>168</v>
      </c>
      <c r="K241" s="2">
        <v>60610</v>
      </c>
      <c r="L241" s="2" t="s">
        <v>88</v>
      </c>
      <c r="M241" s="2" t="s">
        <v>699</v>
      </c>
      <c r="N241" s="2" t="s">
        <v>29</v>
      </c>
      <c r="O241" s="2" t="s">
        <v>57</v>
      </c>
      <c r="P241" s="4">
        <v>11.688000000000001</v>
      </c>
      <c r="Q241" s="2">
        <v>3</v>
      </c>
      <c r="R241" s="3">
        <v>0.6</v>
      </c>
      <c r="S241" s="4">
        <v>-4.6752000000000002</v>
      </c>
      <c r="T241" s="2" t="str">
        <f>TEXT(SalesData[[#This Row],[Order Date]],"mmm")</f>
        <v>Apr</v>
      </c>
      <c r="U241" s="2">
        <f>YEAR(SalesData[[#This Row],[Order Date]])</f>
        <v>2016</v>
      </c>
      <c r="V241" s="2" t="str">
        <f>IF(SalesData[[#This Row],[Profit]]&gt;0,"Profit","Loss")</f>
        <v>Loss</v>
      </c>
      <c r="W241" s="2" t="str">
        <f>IF(SalesData[[#This Row],[Profit]]&gt;100,"High Profit",
IF(SalesData[[#This Row],[Profit]]&gt;0,"Low Profit","Loss"))</f>
        <v>Loss</v>
      </c>
      <c r="X241" s="2" t="str">
        <f>IF(AND(SalesData[[#This Row],[Sales]]&gt;500,SalesData[[#This Row],[Profit]]&gt;0),"Good Order","Review")</f>
        <v>Review</v>
      </c>
      <c r="Y241" s="2"/>
      <c r="Z241" s="2"/>
      <c r="AA241" s="2"/>
      <c r="AB241" s="2"/>
    </row>
    <row r="242" spans="1:28" x14ac:dyDescent="0.3">
      <c r="A242" s="2">
        <v>241</v>
      </c>
      <c r="B242" s="2" t="s">
        <v>694</v>
      </c>
      <c r="C242" s="5">
        <v>42466</v>
      </c>
      <c r="D242" s="2" t="s">
        <v>20</v>
      </c>
      <c r="E242" s="2" t="s">
        <v>695</v>
      </c>
      <c r="F242" s="2" t="s">
        <v>696</v>
      </c>
      <c r="G242" s="2" t="s">
        <v>23</v>
      </c>
      <c r="H242" s="2" t="s">
        <v>24</v>
      </c>
      <c r="I242" s="2" t="s">
        <v>236</v>
      </c>
      <c r="J242" s="2" t="s">
        <v>168</v>
      </c>
      <c r="K242" s="2">
        <v>60610</v>
      </c>
      <c r="L242" s="2" t="s">
        <v>88</v>
      </c>
      <c r="M242" s="2" t="s">
        <v>700</v>
      </c>
      <c r="N242" s="2" t="s">
        <v>61</v>
      </c>
      <c r="O242" s="2" t="s">
        <v>62</v>
      </c>
      <c r="P242" s="4">
        <v>31.984000000000002</v>
      </c>
      <c r="Q242" s="2">
        <v>2</v>
      </c>
      <c r="R242" s="3">
        <v>0.2</v>
      </c>
      <c r="S242" s="4">
        <v>11.1944</v>
      </c>
      <c r="T242" s="2" t="str">
        <f>TEXT(SalesData[[#This Row],[Order Date]],"mmm")</f>
        <v>Apr</v>
      </c>
      <c r="U242" s="2">
        <f>YEAR(SalesData[[#This Row],[Order Date]])</f>
        <v>2016</v>
      </c>
      <c r="V242" s="2" t="str">
        <f>IF(SalesData[[#This Row],[Profit]]&gt;0,"Profit","Loss")</f>
        <v>Profit</v>
      </c>
      <c r="W242" s="2" t="str">
        <f>IF(SalesData[[#This Row],[Profit]]&gt;100,"High Profit",
IF(SalesData[[#This Row],[Profit]]&gt;0,"Low Profit","Loss"))</f>
        <v>Low Profit</v>
      </c>
      <c r="X242" s="2" t="str">
        <f>IF(AND(SalesData[[#This Row],[Sales]]&gt;500,SalesData[[#This Row],[Profit]]&gt;0),"Good Order","Review")</f>
        <v>Review</v>
      </c>
      <c r="Y242" s="2"/>
      <c r="Z242" s="2"/>
      <c r="AA242" s="2"/>
      <c r="AB242" s="2"/>
    </row>
    <row r="243" spans="1:28" x14ac:dyDescent="0.3">
      <c r="A243" s="2">
        <v>242</v>
      </c>
      <c r="B243" s="2" t="s">
        <v>694</v>
      </c>
      <c r="C243" s="5">
        <v>42466</v>
      </c>
      <c r="D243" s="2" t="s">
        <v>20</v>
      </c>
      <c r="E243" s="2" t="s">
        <v>695</v>
      </c>
      <c r="F243" s="2" t="s">
        <v>696</v>
      </c>
      <c r="G243" s="2" t="s">
        <v>23</v>
      </c>
      <c r="H243" s="2" t="s">
        <v>24</v>
      </c>
      <c r="I243" s="2" t="s">
        <v>236</v>
      </c>
      <c r="J243" s="2" t="s">
        <v>168</v>
      </c>
      <c r="K243" s="2">
        <v>60610</v>
      </c>
      <c r="L243" s="2" t="s">
        <v>88</v>
      </c>
      <c r="M243" s="2" t="s">
        <v>701</v>
      </c>
      <c r="N243" s="2" t="s">
        <v>29</v>
      </c>
      <c r="O243" s="2" t="s">
        <v>50</v>
      </c>
      <c r="P243" s="4">
        <v>177.22499999999999</v>
      </c>
      <c r="Q243" s="2">
        <v>5</v>
      </c>
      <c r="R243" s="3">
        <v>0.5</v>
      </c>
      <c r="S243" s="4">
        <v>-120.51300000000001</v>
      </c>
      <c r="T243" s="2" t="str">
        <f>TEXT(SalesData[[#This Row],[Order Date]],"mmm")</f>
        <v>Apr</v>
      </c>
      <c r="U243" s="2">
        <f>YEAR(SalesData[[#This Row],[Order Date]])</f>
        <v>2016</v>
      </c>
      <c r="V243" s="2" t="str">
        <f>IF(SalesData[[#This Row],[Profit]]&gt;0,"Profit","Loss")</f>
        <v>Loss</v>
      </c>
      <c r="W243" s="2" t="str">
        <f>IF(SalesData[[#This Row],[Profit]]&gt;100,"High Profit",
IF(SalesData[[#This Row],[Profit]]&gt;0,"Low Profit","Loss"))</f>
        <v>Loss</v>
      </c>
      <c r="X243" s="2" t="str">
        <f>IF(AND(SalesData[[#This Row],[Sales]]&gt;500,SalesData[[#This Row],[Profit]]&gt;0),"Good Order","Review")</f>
        <v>Review</v>
      </c>
      <c r="Y243" s="2"/>
      <c r="Z243" s="2"/>
      <c r="AA243" s="2"/>
      <c r="AB243" s="2"/>
    </row>
    <row r="244" spans="1:28" x14ac:dyDescent="0.3">
      <c r="A244" s="2">
        <v>243</v>
      </c>
      <c r="B244" s="2" t="s">
        <v>694</v>
      </c>
      <c r="C244" s="5">
        <v>42466</v>
      </c>
      <c r="D244" s="2" t="s">
        <v>20</v>
      </c>
      <c r="E244" s="2" t="s">
        <v>695</v>
      </c>
      <c r="F244" s="2" t="s">
        <v>696</v>
      </c>
      <c r="G244" s="2" t="s">
        <v>23</v>
      </c>
      <c r="H244" s="2" t="s">
        <v>24</v>
      </c>
      <c r="I244" s="2" t="s">
        <v>236</v>
      </c>
      <c r="J244" s="2" t="s">
        <v>168</v>
      </c>
      <c r="K244" s="2">
        <v>60610</v>
      </c>
      <c r="L244" s="2" t="s">
        <v>88</v>
      </c>
      <c r="M244" s="2" t="s">
        <v>702</v>
      </c>
      <c r="N244" s="2" t="s">
        <v>29</v>
      </c>
      <c r="O244" s="2" t="s">
        <v>57</v>
      </c>
      <c r="P244" s="4">
        <v>4.0439999999999996</v>
      </c>
      <c r="Q244" s="2">
        <v>3</v>
      </c>
      <c r="R244" s="3">
        <v>0.6</v>
      </c>
      <c r="S244" s="4">
        <v>-2.8308</v>
      </c>
      <c r="T244" s="2" t="str">
        <f>TEXT(SalesData[[#This Row],[Order Date]],"mmm")</f>
        <v>Apr</v>
      </c>
      <c r="U244" s="2">
        <f>YEAR(SalesData[[#This Row],[Order Date]])</f>
        <v>2016</v>
      </c>
      <c r="V244" s="2" t="str">
        <f>IF(SalesData[[#This Row],[Profit]]&gt;0,"Profit","Loss")</f>
        <v>Loss</v>
      </c>
      <c r="W244" s="2" t="str">
        <f>IF(SalesData[[#This Row],[Profit]]&gt;100,"High Profit",
IF(SalesData[[#This Row],[Profit]]&gt;0,"Low Profit","Loss"))</f>
        <v>Loss</v>
      </c>
      <c r="X244" s="2" t="str">
        <f>IF(AND(SalesData[[#This Row],[Sales]]&gt;500,SalesData[[#This Row],[Profit]]&gt;0),"Good Order","Review")</f>
        <v>Review</v>
      </c>
      <c r="Y244" s="2"/>
      <c r="Z244" s="2"/>
      <c r="AA244" s="2"/>
      <c r="AB244" s="2"/>
    </row>
    <row r="245" spans="1:28" x14ac:dyDescent="0.3">
      <c r="A245" s="2">
        <v>244</v>
      </c>
      <c r="B245" s="2" t="s">
        <v>694</v>
      </c>
      <c r="C245" s="5">
        <v>42466</v>
      </c>
      <c r="D245" s="2" t="s">
        <v>20</v>
      </c>
      <c r="E245" s="2" t="s">
        <v>695</v>
      </c>
      <c r="F245" s="2" t="s">
        <v>696</v>
      </c>
      <c r="G245" s="2" t="s">
        <v>23</v>
      </c>
      <c r="H245" s="2" t="s">
        <v>24</v>
      </c>
      <c r="I245" s="2" t="s">
        <v>236</v>
      </c>
      <c r="J245" s="2" t="s">
        <v>168</v>
      </c>
      <c r="K245" s="2">
        <v>60610</v>
      </c>
      <c r="L245" s="2" t="s">
        <v>88</v>
      </c>
      <c r="M245" s="2" t="s">
        <v>596</v>
      </c>
      <c r="N245" s="2" t="s">
        <v>41</v>
      </c>
      <c r="O245" s="2" t="s">
        <v>59</v>
      </c>
      <c r="P245" s="4">
        <v>7.4080000000000004</v>
      </c>
      <c r="Q245" s="2">
        <v>2</v>
      </c>
      <c r="R245" s="3">
        <v>0.2</v>
      </c>
      <c r="S245" s="4">
        <v>1.2038</v>
      </c>
      <c r="T245" s="2" t="str">
        <f>TEXT(SalesData[[#This Row],[Order Date]],"mmm")</f>
        <v>Apr</v>
      </c>
      <c r="U245" s="2">
        <f>YEAR(SalesData[[#This Row],[Order Date]])</f>
        <v>2016</v>
      </c>
      <c r="V245" s="2" t="str">
        <f>IF(SalesData[[#This Row],[Profit]]&gt;0,"Profit","Loss")</f>
        <v>Profit</v>
      </c>
      <c r="W245" s="2" t="str">
        <f>IF(SalesData[[#This Row],[Profit]]&gt;100,"High Profit",
IF(SalesData[[#This Row],[Profit]]&gt;0,"Low Profit","Loss"))</f>
        <v>Low Profit</v>
      </c>
      <c r="X245" s="2" t="str">
        <f>IF(AND(SalesData[[#This Row],[Sales]]&gt;500,SalesData[[#This Row],[Profit]]&gt;0),"Good Order","Review")</f>
        <v>Review</v>
      </c>
      <c r="Y245" s="2"/>
      <c r="Z245" s="2"/>
      <c r="AA245" s="2"/>
      <c r="AB245" s="2"/>
    </row>
    <row r="246" spans="1:28" x14ac:dyDescent="0.3">
      <c r="A246" s="2">
        <v>245</v>
      </c>
      <c r="B246" s="2" t="s">
        <v>703</v>
      </c>
      <c r="C246" s="5">
        <v>41645</v>
      </c>
      <c r="D246" s="2" t="s">
        <v>20</v>
      </c>
      <c r="E246" s="2" t="s">
        <v>704</v>
      </c>
      <c r="F246" s="2" t="s">
        <v>705</v>
      </c>
      <c r="G246" s="2" t="s">
        <v>85</v>
      </c>
      <c r="H246" s="2" t="s">
        <v>24</v>
      </c>
      <c r="I246" s="2" t="s">
        <v>706</v>
      </c>
      <c r="J246" s="2" t="s">
        <v>183</v>
      </c>
      <c r="K246" s="2">
        <v>55044</v>
      </c>
      <c r="L246" s="2" t="s">
        <v>88</v>
      </c>
      <c r="M246" s="2" t="s">
        <v>410</v>
      </c>
      <c r="N246" s="2" t="s">
        <v>29</v>
      </c>
      <c r="O246" s="2" t="s">
        <v>32</v>
      </c>
      <c r="P246" s="4">
        <v>2001.86</v>
      </c>
      <c r="Q246" s="2">
        <v>7</v>
      </c>
      <c r="R246" s="3">
        <v>0</v>
      </c>
      <c r="S246" s="4">
        <v>580.5394</v>
      </c>
      <c r="T246" s="2" t="str">
        <f>TEXT(SalesData[[#This Row],[Order Date]],"mmm")</f>
        <v>Jan</v>
      </c>
      <c r="U246" s="2">
        <f>YEAR(SalesData[[#This Row],[Order Date]])</f>
        <v>2014</v>
      </c>
      <c r="V246" s="2" t="str">
        <f>IF(SalesData[[#This Row],[Profit]]&gt;0,"Profit","Loss")</f>
        <v>Profit</v>
      </c>
      <c r="W246" s="2" t="str">
        <f>IF(SalesData[[#This Row],[Profit]]&gt;100,"High Profit",
IF(SalesData[[#This Row],[Profit]]&gt;0,"Low Profit","Loss"))</f>
        <v>High Profit</v>
      </c>
      <c r="X246" s="2" t="str">
        <f>IF(AND(SalesData[[#This Row],[Sales]]&gt;500,SalesData[[#This Row],[Profit]]&gt;0),"Good Order","Review")</f>
        <v>Good Order</v>
      </c>
      <c r="Y246" s="2"/>
      <c r="Z246" s="2"/>
      <c r="AA246" s="2"/>
      <c r="AB246" s="2"/>
    </row>
    <row r="247" spans="1:28" x14ac:dyDescent="0.3">
      <c r="A247" s="2">
        <v>246</v>
      </c>
      <c r="B247" s="2" t="s">
        <v>703</v>
      </c>
      <c r="C247" s="5">
        <v>41645</v>
      </c>
      <c r="D247" s="2" t="s">
        <v>20</v>
      </c>
      <c r="E247" s="2" t="s">
        <v>704</v>
      </c>
      <c r="F247" s="2" t="s">
        <v>705</v>
      </c>
      <c r="G247" s="2" t="s">
        <v>85</v>
      </c>
      <c r="H247" s="2" t="s">
        <v>24</v>
      </c>
      <c r="I247" s="2" t="s">
        <v>706</v>
      </c>
      <c r="J247" s="2" t="s">
        <v>183</v>
      </c>
      <c r="K247" s="2">
        <v>55044</v>
      </c>
      <c r="L247" s="2" t="s">
        <v>88</v>
      </c>
      <c r="M247" s="2" t="s">
        <v>707</v>
      </c>
      <c r="N247" s="2" t="s">
        <v>41</v>
      </c>
      <c r="O247" s="2" t="s">
        <v>52</v>
      </c>
      <c r="P247" s="4">
        <v>166.72</v>
      </c>
      <c r="Q247" s="2">
        <v>2</v>
      </c>
      <c r="R247" s="3">
        <v>0</v>
      </c>
      <c r="S247" s="4">
        <v>41.68</v>
      </c>
      <c r="T247" s="2" t="str">
        <f>TEXT(SalesData[[#This Row],[Order Date]],"mmm")</f>
        <v>Jan</v>
      </c>
      <c r="U247" s="2">
        <f>YEAR(SalesData[[#This Row],[Order Date]])</f>
        <v>2014</v>
      </c>
      <c r="V247" s="2" t="str">
        <f>IF(SalesData[[#This Row],[Profit]]&gt;0,"Profit","Loss")</f>
        <v>Profit</v>
      </c>
      <c r="W247" s="2" t="str">
        <f>IF(SalesData[[#This Row],[Profit]]&gt;100,"High Profit",
IF(SalesData[[#This Row],[Profit]]&gt;0,"Low Profit","Loss"))</f>
        <v>Low Profit</v>
      </c>
      <c r="X247" s="2" t="str">
        <f>IF(AND(SalesData[[#This Row],[Sales]]&gt;500,SalesData[[#This Row],[Profit]]&gt;0),"Good Order","Review")</f>
        <v>Review</v>
      </c>
      <c r="Y247" s="2"/>
      <c r="Z247" s="2"/>
      <c r="AA247" s="2"/>
      <c r="AB247" s="2"/>
    </row>
    <row r="248" spans="1:28" x14ac:dyDescent="0.3">
      <c r="A248" s="2">
        <v>247</v>
      </c>
      <c r="B248" s="2" t="s">
        <v>703</v>
      </c>
      <c r="C248" s="5">
        <v>41645</v>
      </c>
      <c r="D248" s="2" t="s">
        <v>20</v>
      </c>
      <c r="E248" s="2" t="s">
        <v>704</v>
      </c>
      <c r="F248" s="2" t="s">
        <v>705</v>
      </c>
      <c r="G248" s="2" t="s">
        <v>85</v>
      </c>
      <c r="H248" s="2" t="s">
        <v>24</v>
      </c>
      <c r="I248" s="2" t="s">
        <v>706</v>
      </c>
      <c r="J248" s="2" t="s">
        <v>183</v>
      </c>
      <c r="K248" s="2">
        <v>55044</v>
      </c>
      <c r="L248" s="2" t="s">
        <v>88</v>
      </c>
      <c r="M248" s="2" t="s">
        <v>708</v>
      </c>
      <c r="N248" s="2" t="s">
        <v>41</v>
      </c>
      <c r="O248" s="2" t="s">
        <v>75</v>
      </c>
      <c r="P248" s="4">
        <v>47.88</v>
      </c>
      <c r="Q248" s="2">
        <v>6</v>
      </c>
      <c r="R248" s="3">
        <v>0</v>
      </c>
      <c r="S248" s="4">
        <v>23.94</v>
      </c>
      <c r="T248" s="2" t="str">
        <f>TEXT(SalesData[[#This Row],[Order Date]],"mmm")</f>
        <v>Jan</v>
      </c>
      <c r="U248" s="2">
        <f>YEAR(SalesData[[#This Row],[Order Date]])</f>
        <v>2014</v>
      </c>
      <c r="V248" s="2" t="str">
        <f>IF(SalesData[[#This Row],[Profit]]&gt;0,"Profit","Loss")</f>
        <v>Profit</v>
      </c>
      <c r="W248" s="2" t="str">
        <f>IF(SalesData[[#This Row],[Profit]]&gt;100,"High Profit",
IF(SalesData[[#This Row],[Profit]]&gt;0,"Low Profit","Loss"))</f>
        <v>Low Profit</v>
      </c>
      <c r="X248" s="2" t="str">
        <f>IF(AND(SalesData[[#This Row],[Sales]]&gt;500,SalesData[[#This Row],[Profit]]&gt;0),"Good Order","Review")</f>
        <v>Review</v>
      </c>
      <c r="Y248" s="2"/>
      <c r="Z248" s="2"/>
      <c r="AA248" s="2"/>
      <c r="AB248" s="2"/>
    </row>
    <row r="249" spans="1:28" x14ac:dyDescent="0.3">
      <c r="A249" s="2">
        <v>248</v>
      </c>
      <c r="B249" s="2" t="s">
        <v>703</v>
      </c>
      <c r="C249" s="5">
        <v>41645</v>
      </c>
      <c r="D249" s="2" t="s">
        <v>20</v>
      </c>
      <c r="E249" s="2" t="s">
        <v>704</v>
      </c>
      <c r="F249" s="2" t="s">
        <v>705</v>
      </c>
      <c r="G249" s="2" t="s">
        <v>85</v>
      </c>
      <c r="H249" s="2" t="s">
        <v>24</v>
      </c>
      <c r="I249" s="2" t="s">
        <v>706</v>
      </c>
      <c r="J249" s="2" t="s">
        <v>183</v>
      </c>
      <c r="K249" s="2">
        <v>55044</v>
      </c>
      <c r="L249" s="2" t="s">
        <v>88</v>
      </c>
      <c r="M249" s="2" t="s">
        <v>709</v>
      </c>
      <c r="N249" s="2" t="s">
        <v>41</v>
      </c>
      <c r="O249" s="2" t="s">
        <v>66</v>
      </c>
      <c r="P249" s="4">
        <v>1503.25</v>
      </c>
      <c r="Q249" s="2">
        <v>5</v>
      </c>
      <c r="R249" s="3">
        <v>0</v>
      </c>
      <c r="S249" s="4">
        <v>496.07249999999999</v>
      </c>
      <c r="T249" s="2" t="str">
        <f>TEXT(SalesData[[#This Row],[Order Date]],"mmm")</f>
        <v>Jan</v>
      </c>
      <c r="U249" s="2">
        <f>YEAR(SalesData[[#This Row],[Order Date]])</f>
        <v>2014</v>
      </c>
      <c r="V249" s="2" t="str">
        <f>IF(SalesData[[#This Row],[Profit]]&gt;0,"Profit","Loss")</f>
        <v>Profit</v>
      </c>
      <c r="W249" s="2" t="str">
        <f>IF(SalesData[[#This Row],[Profit]]&gt;100,"High Profit",
IF(SalesData[[#This Row],[Profit]]&gt;0,"Low Profit","Loss"))</f>
        <v>High Profit</v>
      </c>
      <c r="X249" s="2" t="str">
        <f>IF(AND(SalesData[[#This Row],[Sales]]&gt;500,SalesData[[#This Row],[Profit]]&gt;0),"Good Order","Review")</f>
        <v>Good Order</v>
      </c>
      <c r="Y249" s="2"/>
      <c r="Z249" s="2"/>
      <c r="AA249" s="2"/>
      <c r="AB249" s="2"/>
    </row>
    <row r="250" spans="1:28" x14ac:dyDescent="0.3">
      <c r="A250" s="2">
        <v>249</v>
      </c>
      <c r="B250" s="2" t="s">
        <v>703</v>
      </c>
      <c r="C250" s="5">
        <v>41645</v>
      </c>
      <c r="D250" s="2" t="s">
        <v>20</v>
      </c>
      <c r="E250" s="2" t="s">
        <v>704</v>
      </c>
      <c r="F250" s="2" t="s">
        <v>705</v>
      </c>
      <c r="G250" s="2" t="s">
        <v>85</v>
      </c>
      <c r="H250" s="2" t="s">
        <v>24</v>
      </c>
      <c r="I250" s="2" t="s">
        <v>706</v>
      </c>
      <c r="J250" s="2" t="s">
        <v>183</v>
      </c>
      <c r="K250" s="2">
        <v>55044</v>
      </c>
      <c r="L250" s="2" t="s">
        <v>88</v>
      </c>
      <c r="M250" s="2" t="s">
        <v>586</v>
      </c>
      <c r="N250" s="2" t="s">
        <v>41</v>
      </c>
      <c r="O250" s="2" t="s">
        <v>75</v>
      </c>
      <c r="P250" s="4">
        <v>25.92</v>
      </c>
      <c r="Q250" s="2">
        <v>4</v>
      </c>
      <c r="R250" s="3">
        <v>0</v>
      </c>
      <c r="S250" s="4">
        <v>12.441599999999999</v>
      </c>
      <c r="T250" s="2" t="str">
        <f>TEXT(SalesData[[#This Row],[Order Date]],"mmm")</f>
        <v>Jan</v>
      </c>
      <c r="U250" s="2">
        <f>YEAR(SalesData[[#This Row],[Order Date]])</f>
        <v>2014</v>
      </c>
      <c r="V250" s="2" t="str">
        <f>IF(SalesData[[#This Row],[Profit]]&gt;0,"Profit","Loss")</f>
        <v>Profit</v>
      </c>
      <c r="W250" s="2" t="str">
        <f>IF(SalesData[[#This Row],[Profit]]&gt;100,"High Profit",
IF(SalesData[[#This Row],[Profit]]&gt;0,"Low Profit","Loss"))</f>
        <v>Low Profit</v>
      </c>
      <c r="X250" s="2" t="str">
        <f>IF(AND(SalesData[[#This Row],[Sales]]&gt;500,SalesData[[#This Row],[Profit]]&gt;0),"Good Order","Review")</f>
        <v>Review</v>
      </c>
      <c r="Y250" s="2"/>
      <c r="Z250" s="2"/>
      <c r="AA250" s="2"/>
      <c r="AB250" s="2"/>
    </row>
    <row r="251" spans="1:28" x14ac:dyDescent="0.3">
      <c r="A251" s="2">
        <v>250</v>
      </c>
      <c r="B251" s="2" t="s">
        <v>710</v>
      </c>
      <c r="C251" s="5">
        <v>42655</v>
      </c>
      <c r="D251" s="2" t="s">
        <v>20</v>
      </c>
      <c r="E251" s="2" t="s">
        <v>711</v>
      </c>
      <c r="F251" s="2" t="s">
        <v>712</v>
      </c>
      <c r="G251" s="2" t="s">
        <v>23</v>
      </c>
      <c r="H251" s="2" t="s">
        <v>24</v>
      </c>
      <c r="I251" s="2" t="s">
        <v>106</v>
      </c>
      <c r="J251" s="2" t="s">
        <v>38</v>
      </c>
      <c r="K251" s="2">
        <v>94109</v>
      </c>
      <c r="L251" s="2" t="s">
        <v>39</v>
      </c>
      <c r="M251" s="2" t="s">
        <v>713</v>
      </c>
      <c r="N251" s="2" t="s">
        <v>29</v>
      </c>
      <c r="O251" s="2" t="s">
        <v>32</v>
      </c>
      <c r="P251" s="4">
        <v>321.56799999999998</v>
      </c>
      <c r="Q251" s="2">
        <v>2</v>
      </c>
      <c r="R251" s="3">
        <v>0.2</v>
      </c>
      <c r="S251" s="4">
        <v>28.1372</v>
      </c>
      <c r="T251" s="2" t="str">
        <f>TEXT(SalesData[[#This Row],[Order Date]],"mmm")</f>
        <v>Oct</v>
      </c>
      <c r="U251" s="2">
        <f>YEAR(SalesData[[#This Row],[Order Date]])</f>
        <v>2016</v>
      </c>
      <c r="V251" s="2" t="str">
        <f>IF(SalesData[[#This Row],[Profit]]&gt;0,"Profit","Loss")</f>
        <v>Profit</v>
      </c>
      <c r="W251" s="2" t="str">
        <f>IF(SalesData[[#This Row],[Profit]]&gt;100,"High Profit",
IF(SalesData[[#This Row],[Profit]]&gt;0,"Low Profit","Loss"))</f>
        <v>Low Profit</v>
      </c>
      <c r="X251" s="2" t="str">
        <f>IF(AND(SalesData[[#This Row],[Sales]]&gt;500,SalesData[[#This Row],[Profit]]&gt;0),"Good Order","Review")</f>
        <v>Review</v>
      </c>
      <c r="Y251" s="2"/>
      <c r="Z251" s="2"/>
      <c r="AA251" s="2"/>
      <c r="AB251" s="2"/>
    </row>
    <row r="252" spans="1:28" x14ac:dyDescent="0.3">
      <c r="A252" s="2">
        <v>251</v>
      </c>
      <c r="B252" s="2" t="s">
        <v>714</v>
      </c>
      <c r="C252" s="5">
        <v>42683</v>
      </c>
      <c r="D252" s="2" t="s">
        <v>44</v>
      </c>
      <c r="E252" s="2" t="s">
        <v>715</v>
      </c>
      <c r="F252" s="2" t="s">
        <v>716</v>
      </c>
      <c r="G252" s="2" t="s">
        <v>23</v>
      </c>
      <c r="H252" s="2" t="s">
        <v>24</v>
      </c>
      <c r="I252" s="2" t="s">
        <v>717</v>
      </c>
      <c r="J252" s="2" t="s">
        <v>38</v>
      </c>
      <c r="K252" s="2">
        <v>92037</v>
      </c>
      <c r="L252" s="2" t="s">
        <v>39</v>
      </c>
      <c r="M252" s="2" t="s">
        <v>718</v>
      </c>
      <c r="N252" s="2" t="s">
        <v>41</v>
      </c>
      <c r="O252" s="2" t="s">
        <v>75</v>
      </c>
      <c r="P252" s="4">
        <v>7.61</v>
      </c>
      <c r="Q252" s="2">
        <v>1</v>
      </c>
      <c r="R252" s="3">
        <v>0</v>
      </c>
      <c r="S252" s="4">
        <v>3.5767000000000002</v>
      </c>
      <c r="T252" s="2" t="str">
        <f>TEXT(SalesData[[#This Row],[Order Date]],"mmm")</f>
        <v>Nov</v>
      </c>
      <c r="U252" s="2">
        <f>YEAR(SalesData[[#This Row],[Order Date]])</f>
        <v>2016</v>
      </c>
      <c r="V252" s="2" t="str">
        <f>IF(SalesData[[#This Row],[Profit]]&gt;0,"Profit","Loss")</f>
        <v>Profit</v>
      </c>
      <c r="W252" s="2" t="str">
        <f>IF(SalesData[[#This Row],[Profit]]&gt;100,"High Profit",
IF(SalesData[[#This Row],[Profit]]&gt;0,"Low Profit","Loss"))</f>
        <v>Low Profit</v>
      </c>
      <c r="X252" s="2" t="str">
        <f>IF(AND(SalesData[[#This Row],[Sales]]&gt;500,SalesData[[#This Row],[Profit]]&gt;0),"Good Order","Review")</f>
        <v>Review</v>
      </c>
      <c r="Y252" s="2"/>
      <c r="Z252" s="2"/>
      <c r="AA252" s="2"/>
      <c r="AB252" s="2"/>
    </row>
    <row r="253" spans="1:28" x14ac:dyDescent="0.3">
      <c r="A253" s="2">
        <v>252</v>
      </c>
      <c r="B253" s="2" t="s">
        <v>714</v>
      </c>
      <c r="C253" s="5">
        <v>42683</v>
      </c>
      <c r="D253" s="2" t="s">
        <v>44</v>
      </c>
      <c r="E253" s="2" t="s">
        <v>715</v>
      </c>
      <c r="F253" s="2" t="s">
        <v>716</v>
      </c>
      <c r="G253" s="2" t="s">
        <v>23</v>
      </c>
      <c r="H253" s="2" t="s">
        <v>24</v>
      </c>
      <c r="I253" s="2" t="s">
        <v>717</v>
      </c>
      <c r="J253" s="2" t="s">
        <v>38</v>
      </c>
      <c r="K253" s="2">
        <v>92037</v>
      </c>
      <c r="L253" s="2" t="s">
        <v>39</v>
      </c>
      <c r="M253" s="2" t="s">
        <v>688</v>
      </c>
      <c r="N253" s="2" t="s">
        <v>61</v>
      </c>
      <c r="O253" s="2" t="s">
        <v>133</v>
      </c>
      <c r="P253" s="4">
        <v>3347.37</v>
      </c>
      <c r="Q253" s="2">
        <v>13</v>
      </c>
      <c r="R253" s="3">
        <v>0</v>
      </c>
      <c r="S253" s="4">
        <v>636.00030000000004</v>
      </c>
      <c r="T253" s="2" t="str">
        <f>TEXT(SalesData[[#This Row],[Order Date]],"mmm")</f>
        <v>Nov</v>
      </c>
      <c r="U253" s="2">
        <f>YEAR(SalesData[[#This Row],[Order Date]])</f>
        <v>2016</v>
      </c>
      <c r="V253" s="2" t="str">
        <f>IF(SalesData[[#This Row],[Profit]]&gt;0,"Profit","Loss")</f>
        <v>Profit</v>
      </c>
      <c r="W253" s="2" t="str">
        <f>IF(SalesData[[#This Row],[Profit]]&gt;100,"High Profit",
IF(SalesData[[#This Row],[Profit]]&gt;0,"Low Profit","Loss"))</f>
        <v>High Profit</v>
      </c>
      <c r="X253" s="2" t="str">
        <f>IF(AND(SalesData[[#This Row],[Sales]]&gt;500,SalesData[[#This Row],[Profit]]&gt;0),"Good Order","Review")</f>
        <v>Good Order</v>
      </c>
      <c r="Y253" s="2"/>
      <c r="Z253" s="2"/>
      <c r="AA253" s="2"/>
      <c r="AB253" s="2"/>
    </row>
    <row r="254" spans="1:28" x14ac:dyDescent="0.3">
      <c r="A254" s="2">
        <v>253</v>
      </c>
      <c r="B254" s="2" t="s">
        <v>719</v>
      </c>
      <c r="C254" s="5">
        <v>42655</v>
      </c>
      <c r="D254" s="2" t="s">
        <v>151</v>
      </c>
      <c r="E254" s="2" t="s">
        <v>720</v>
      </c>
      <c r="F254" s="2" t="s">
        <v>721</v>
      </c>
      <c r="G254" s="2" t="s">
        <v>23</v>
      </c>
      <c r="H254" s="2" t="s">
        <v>24</v>
      </c>
      <c r="I254" s="2" t="s">
        <v>211</v>
      </c>
      <c r="J254" s="2" t="s">
        <v>212</v>
      </c>
      <c r="K254" s="2">
        <v>10024</v>
      </c>
      <c r="L254" s="2" t="s">
        <v>122</v>
      </c>
      <c r="M254" s="2" t="s">
        <v>722</v>
      </c>
      <c r="N254" s="2" t="s">
        <v>41</v>
      </c>
      <c r="O254" s="2" t="s">
        <v>52</v>
      </c>
      <c r="P254" s="4">
        <v>80.58</v>
      </c>
      <c r="Q254" s="2">
        <v>6</v>
      </c>
      <c r="R254" s="3">
        <v>0</v>
      </c>
      <c r="S254" s="4">
        <v>22.5624</v>
      </c>
      <c r="T254" s="2" t="str">
        <f>TEXT(SalesData[[#This Row],[Order Date]],"mmm")</f>
        <v>Oct</v>
      </c>
      <c r="U254" s="2">
        <f>YEAR(SalesData[[#This Row],[Order Date]])</f>
        <v>2016</v>
      </c>
      <c r="V254" s="2" t="str">
        <f>IF(SalesData[[#This Row],[Profit]]&gt;0,"Profit","Loss")</f>
        <v>Profit</v>
      </c>
      <c r="W254" s="2" t="str">
        <f>IF(SalesData[[#This Row],[Profit]]&gt;100,"High Profit",
IF(SalesData[[#This Row],[Profit]]&gt;0,"Low Profit","Loss"))</f>
        <v>Low Profit</v>
      </c>
      <c r="X254" s="2" t="str">
        <f>IF(AND(SalesData[[#This Row],[Sales]]&gt;500,SalesData[[#This Row],[Profit]]&gt;0),"Good Order","Review")</f>
        <v>Review</v>
      </c>
      <c r="Y254" s="2"/>
      <c r="Z254" s="2"/>
      <c r="AA254" s="2"/>
      <c r="AB254" s="2"/>
    </row>
    <row r="255" spans="1:28" x14ac:dyDescent="0.3">
      <c r="A255" s="2">
        <v>254</v>
      </c>
      <c r="B255" s="2" t="s">
        <v>719</v>
      </c>
      <c r="C255" s="5">
        <v>42655</v>
      </c>
      <c r="D255" s="2" t="s">
        <v>151</v>
      </c>
      <c r="E255" s="2" t="s">
        <v>720</v>
      </c>
      <c r="F255" s="2" t="s">
        <v>721</v>
      </c>
      <c r="G255" s="2" t="s">
        <v>23</v>
      </c>
      <c r="H255" s="2" t="s">
        <v>24</v>
      </c>
      <c r="I255" s="2" t="s">
        <v>211</v>
      </c>
      <c r="J255" s="2" t="s">
        <v>212</v>
      </c>
      <c r="K255" s="2">
        <v>10024</v>
      </c>
      <c r="L255" s="2" t="s">
        <v>122</v>
      </c>
      <c r="M255" s="2" t="s">
        <v>723</v>
      </c>
      <c r="N255" s="2" t="s">
        <v>41</v>
      </c>
      <c r="O255" s="2" t="s">
        <v>141</v>
      </c>
      <c r="P255" s="4">
        <v>361.92</v>
      </c>
      <c r="Q255" s="2">
        <v>4</v>
      </c>
      <c r="R255" s="3">
        <v>0</v>
      </c>
      <c r="S255" s="4">
        <v>162.864</v>
      </c>
      <c r="T255" s="2" t="str">
        <f>TEXT(SalesData[[#This Row],[Order Date]],"mmm")</f>
        <v>Oct</v>
      </c>
      <c r="U255" s="2">
        <f>YEAR(SalesData[[#This Row],[Order Date]])</f>
        <v>2016</v>
      </c>
      <c r="V255" s="2" t="str">
        <f>IF(SalesData[[#This Row],[Profit]]&gt;0,"Profit","Loss")</f>
        <v>Profit</v>
      </c>
      <c r="W255" s="2" t="str">
        <f>IF(SalesData[[#This Row],[Profit]]&gt;100,"High Profit",
IF(SalesData[[#This Row],[Profit]]&gt;0,"Low Profit","Loss"))</f>
        <v>High Profit</v>
      </c>
      <c r="X255" s="2" t="str">
        <f>IF(AND(SalesData[[#This Row],[Sales]]&gt;500,SalesData[[#This Row],[Profit]]&gt;0),"Good Order","Review")</f>
        <v>Review</v>
      </c>
      <c r="Y255" s="2"/>
      <c r="Z255" s="2"/>
      <c r="AA255" s="2"/>
      <c r="AB255" s="2"/>
    </row>
    <row r="256" spans="1:28" x14ac:dyDescent="0.3">
      <c r="A256" s="2">
        <v>255</v>
      </c>
      <c r="B256" s="2" t="s">
        <v>724</v>
      </c>
      <c r="C256" s="5">
        <v>42336</v>
      </c>
      <c r="D256" s="2" t="s">
        <v>44</v>
      </c>
      <c r="E256" s="2" t="s">
        <v>725</v>
      </c>
      <c r="F256" s="2" t="s">
        <v>726</v>
      </c>
      <c r="G256" s="2" t="s">
        <v>36</v>
      </c>
      <c r="H256" s="2" t="s">
        <v>24</v>
      </c>
      <c r="I256" s="2" t="s">
        <v>236</v>
      </c>
      <c r="J256" s="2" t="s">
        <v>168</v>
      </c>
      <c r="K256" s="2">
        <v>60623</v>
      </c>
      <c r="L256" s="2" t="s">
        <v>88</v>
      </c>
      <c r="M256" s="2" t="s">
        <v>702</v>
      </c>
      <c r="N256" s="2" t="s">
        <v>29</v>
      </c>
      <c r="O256" s="2" t="s">
        <v>57</v>
      </c>
      <c r="P256" s="4">
        <v>12.132</v>
      </c>
      <c r="Q256" s="2">
        <v>9</v>
      </c>
      <c r="R256" s="3">
        <v>0.6</v>
      </c>
      <c r="S256" s="4">
        <v>-8.4923999999999999</v>
      </c>
      <c r="T256" s="2" t="str">
        <f>TEXT(SalesData[[#This Row],[Order Date]],"mmm")</f>
        <v>Nov</v>
      </c>
      <c r="U256" s="2">
        <f>YEAR(SalesData[[#This Row],[Order Date]])</f>
        <v>2015</v>
      </c>
      <c r="V256" s="2" t="str">
        <f>IF(SalesData[[#This Row],[Profit]]&gt;0,"Profit","Loss")</f>
        <v>Loss</v>
      </c>
      <c r="W256" s="2" t="str">
        <f>IF(SalesData[[#This Row],[Profit]]&gt;100,"High Profit",
IF(SalesData[[#This Row],[Profit]]&gt;0,"Low Profit","Loss"))</f>
        <v>Loss</v>
      </c>
      <c r="X256" s="2" t="str">
        <f>IF(AND(SalesData[[#This Row],[Sales]]&gt;500,SalesData[[#This Row],[Profit]]&gt;0),"Good Order","Review")</f>
        <v>Review</v>
      </c>
      <c r="Y256" s="2"/>
      <c r="Z256" s="2"/>
      <c r="AA256" s="2"/>
      <c r="AB256" s="2"/>
    </row>
    <row r="257" spans="1:28" x14ac:dyDescent="0.3">
      <c r="A257" s="2">
        <v>256</v>
      </c>
      <c r="B257" s="2" t="s">
        <v>724</v>
      </c>
      <c r="C257" s="5">
        <v>42336</v>
      </c>
      <c r="D257" s="2" t="s">
        <v>44</v>
      </c>
      <c r="E257" s="2" t="s">
        <v>725</v>
      </c>
      <c r="F257" s="2" t="s">
        <v>726</v>
      </c>
      <c r="G257" s="2" t="s">
        <v>36</v>
      </c>
      <c r="H257" s="2" t="s">
        <v>24</v>
      </c>
      <c r="I257" s="2" t="s">
        <v>236</v>
      </c>
      <c r="J257" s="2" t="s">
        <v>168</v>
      </c>
      <c r="K257" s="2">
        <v>60623</v>
      </c>
      <c r="L257" s="2" t="s">
        <v>88</v>
      </c>
      <c r="M257" s="2" t="s">
        <v>727</v>
      </c>
      <c r="N257" s="2" t="s">
        <v>41</v>
      </c>
      <c r="O257" s="2" t="s">
        <v>52</v>
      </c>
      <c r="P257" s="4">
        <v>82.367999999999995</v>
      </c>
      <c r="Q257" s="2">
        <v>2</v>
      </c>
      <c r="R257" s="3">
        <v>0.2</v>
      </c>
      <c r="S257" s="4">
        <v>-19.5624</v>
      </c>
      <c r="T257" s="2" t="str">
        <f>TEXT(SalesData[[#This Row],[Order Date]],"mmm")</f>
        <v>Nov</v>
      </c>
      <c r="U257" s="2">
        <f>YEAR(SalesData[[#This Row],[Order Date]])</f>
        <v>2015</v>
      </c>
      <c r="V257" s="2" t="str">
        <f>IF(SalesData[[#This Row],[Profit]]&gt;0,"Profit","Loss")</f>
        <v>Loss</v>
      </c>
      <c r="W257" s="2" t="str">
        <f>IF(SalesData[[#This Row],[Profit]]&gt;100,"High Profit",
IF(SalesData[[#This Row],[Profit]]&gt;0,"Low Profit","Loss"))</f>
        <v>Loss</v>
      </c>
      <c r="X257" s="2" t="str">
        <f>IF(AND(SalesData[[#This Row],[Sales]]&gt;500,SalesData[[#This Row],[Profit]]&gt;0),"Good Order","Review")</f>
        <v>Review</v>
      </c>
      <c r="Y257" s="2"/>
      <c r="Z257" s="2"/>
      <c r="AA257" s="2"/>
      <c r="AB257" s="2"/>
    </row>
    <row r="258" spans="1:28" x14ac:dyDescent="0.3">
      <c r="A258" s="2">
        <v>257</v>
      </c>
      <c r="B258" s="2" t="s">
        <v>724</v>
      </c>
      <c r="C258" s="5">
        <v>42336</v>
      </c>
      <c r="D258" s="2" t="s">
        <v>44</v>
      </c>
      <c r="E258" s="2" t="s">
        <v>725</v>
      </c>
      <c r="F258" s="2" t="s">
        <v>726</v>
      </c>
      <c r="G258" s="2" t="s">
        <v>36</v>
      </c>
      <c r="H258" s="2" t="s">
        <v>24</v>
      </c>
      <c r="I258" s="2" t="s">
        <v>236</v>
      </c>
      <c r="J258" s="2" t="s">
        <v>168</v>
      </c>
      <c r="K258" s="2">
        <v>60623</v>
      </c>
      <c r="L258" s="2" t="s">
        <v>88</v>
      </c>
      <c r="M258" s="2" t="s">
        <v>486</v>
      </c>
      <c r="N258" s="2" t="s">
        <v>41</v>
      </c>
      <c r="O258" s="2" t="s">
        <v>52</v>
      </c>
      <c r="P258" s="4">
        <v>53.92</v>
      </c>
      <c r="Q258" s="2">
        <v>5</v>
      </c>
      <c r="R258" s="3">
        <v>0.2</v>
      </c>
      <c r="S258" s="4">
        <v>4.0439999999999996</v>
      </c>
      <c r="T258" s="2" t="str">
        <f>TEXT(SalesData[[#This Row],[Order Date]],"mmm")</f>
        <v>Nov</v>
      </c>
      <c r="U258" s="2">
        <f>YEAR(SalesData[[#This Row],[Order Date]])</f>
        <v>2015</v>
      </c>
      <c r="V258" s="2" t="str">
        <f>IF(SalesData[[#This Row],[Profit]]&gt;0,"Profit","Loss")</f>
        <v>Profit</v>
      </c>
      <c r="W258" s="2" t="str">
        <f>IF(SalesData[[#This Row],[Profit]]&gt;100,"High Profit",
IF(SalesData[[#This Row],[Profit]]&gt;0,"Low Profit","Loss"))</f>
        <v>Low Profit</v>
      </c>
      <c r="X258" s="2" t="str">
        <f>IF(AND(SalesData[[#This Row],[Sales]]&gt;500,SalesData[[#This Row],[Profit]]&gt;0),"Good Order","Review")</f>
        <v>Review</v>
      </c>
      <c r="Y258" s="2"/>
      <c r="Z258" s="2"/>
      <c r="AA258" s="2"/>
      <c r="AB258" s="2"/>
    </row>
    <row r="259" spans="1:28" x14ac:dyDescent="0.3">
      <c r="A259" s="2">
        <v>258</v>
      </c>
      <c r="B259" s="2" t="s">
        <v>724</v>
      </c>
      <c r="C259" s="5">
        <v>42336</v>
      </c>
      <c r="D259" s="2" t="s">
        <v>44</v>
      </c>
      <c r="E259" s="2" t="s">
        <v>725</v>
      </c>
      <c r="F259" s="2" t="s">
        <v>726</v>
      </c>
      <c r="G259" s="2" t="s">
        <v>36</v>
      </c>
      <c r="H259" s="2" t="s">
        <v>24</v>
      </c>
      <c r="I259" s="2" t="s">
        <v>236</v>
      </c>
      <c r="J259" s="2" t="s">
        <v>168</v>
      </c>
      <c r="K259" s="2">
        <v>60623</v>
      </c>
      <c r="L259" s="2" t="s">
        <v>88</v>
      </c>
      <c r="M259" s="2" t="s">
        <v>728</v>
      </c>
      <c r="N259" s="2" t="s">
        <v>61</v>
      </c>
      <c r="O259" s="2" t="s">
        <v>62</v>
      </c>
      <c r="P259" s="4">
        <v>647.904</v>
      </c>
      <c r="Q259" s="2">
        <v>6</v>
      </c>
      <c r="R259" s="3">
        <v>0.2</v>
      </c>
      <c r="S259" s="4">
        <v>56.691600000000001</v>
      </c>
      <c r="T259" s="2" t="str">
        <f>TEXT(SalesData[[#This Row],[Order Date]],"mmm")</f>
        <v>Nov</v>
      </c>
      <c r="U259" s="2">
        <f>YEAR(SalesData[[#This Row],[Order Date]])</f>
        <v>2015</v>
      </c>
      <c r="V259" s="2" t="str">
        <f>IF(SalesData[[#This Row],[Profit]]&gt;0,"Profit","Loss")</f>
        <v>Profit</v>
      </c>
      <c r="W259" s="2" t="str">
        <f>IF(SalesData[[#This Row],[Profit]]&gt;100,"High Profit",
IF(SalesData[[#This Row],[Profit]]&gt;0,"Low Profit","Loss"))</f>
        <v>Low Profit</v>
      </c>
      <c r="X259" s="2" t="str">
        <f>IF(AND(SalesData[[#This Row],[Sales]]&gt;500,SalesData[[#This Row],[Profit]]&gt;0),"Good Order","Review")</f>
        <v>Good Order</v>
      </c>
      <c r="Y259" s="2"/>
      <c r="Z259" s="2"/>
      <c r="AA259" s="2"/>
      <c r="AB259" s="2"/>
    </row>
    <row r="260" spans="1:28" x14ac:dyDescent="0.3">
      <c r="A260" s="2">
        <v>259</v>
      </c>
      <c r="B260" s="2" t="s">
        <v>729</v>
      </c>
      <c r="C260" s="5">
        <v>42747</v>
      </c>
      <c r="D260" s="2" t="s">
        <v>20</v>
      </c>
      <c r="E260" s="2" t="s">
        <v>730</v>
      </c>
      <c r="F260" s="2" t="s">
        <v>731</v>
      </c>
      <c r="G260" s="2" t="s">
        <v>23</v>
      </c>
      <c r="H260" s="2" t="s">
        <v>24</v>
      </c>
      <c r="I260" s="2" t="s">
        <v>211</v>
      </c>
      <c r="J260" s="2" t="s">
        <v>212</v>
      </c>
      <c r="K260" s="2">
        <v>10009</v>
      </c>
      <c r="L260" s="2" t="s">
        <v>122</v>
      </c>
      <c r="M260" s="2" t="s">
        <v>732</v>
      </c>
      <c r="N260" s="2" t="s">
        <v>61</v>
      </c>
      <c r="O260" s="2" t="s">
        <v>133</v>
      </c>
      <c r="P260" s="4">
        <v>20.37</v>
      </c>
      <c r="Q260" s="2">
        <v>3</v>
      </c>
      <c r="R260" s="3">
        <v>0</v>
      </c>
      <c r="S260" s="4">
        <v>6.9257999999999997</v>
      </c>
      <c r="T260" s="2" t="str">
        <f>TEXT(SalesData[[#This Row],[Order Date]],"mmm")</f>
        <v>Jan</v>
      </c>
      <c r="U260" s="2">
        <f>YEAR(SalesData[[#This Row],[Order Date]])</f>
        <v>2017</v>
      </c>
      <c r="V260" s="2" t="str">
        <f>IF(SalesData[[#This Row],[Profit]]&gt;0,"Profit","Loss")</f>
        <v>Profit</v>
      </c>
      <c r="W260" s="2" t="str">
        <f>IF(SalesData[[#This Row],[Profit]]&gt;100,"High Profit",
IF(SalesData[[#This Row],[Profit]]&gt;0,"Low Profit","Loss"))</f>
        <v>Low Profit</v>
      </c>
      <c r="X260" s="2" t="str">
        <f>IF(AND(SalesData[[#This Row],[Sales]]&gt;500,SalesData[[#This Row],[Profit]]&gt;0),"Good Order","Review")</f>
        <v>Review</v>
      </c>
      <c r="Y260" s="2"/>
      <c r="Z260" s="2"/>
      <c r="AA260" s="2"/>
      <c r="AB260" s="2"/>
    </row>
    <row r="261" spans="1:28" x14ac:dyDescent="0.3">
      <c r="A261" s="2">
        <v>260</v>
      </c>
      <c r="B261" s="2" t="s">
        <v>729</v>
      </c>
      <c r="C261" s="5">
        <v>42747</v>
      </c>
      <c r="D261" s="2" t="s">
        <v>20</v>
      </c>
      <c r="E261" s="2" t="s">
        <v>730</v>
      </c>
      <c r="F261" s="2" t="s">
        <v>731</v>
      </c>
      <c r="G261" s="2" t="s">
        <v>23</v>
      </c>
      <c r="H261" s="2" t="s">
        <v>24</v>
      </c>
      <c r="I261" s="2" t="s">
        <v>211</v>
      </c>
      <c r="J261" s="2" t="s">
        <v>212</v>
      </c>
      <c r="K261" s="2">
        <v>10009</v>
      </c>
      <c r="L261" s="2" t="s">
        <v>122</v>
      </c>
      <c r="M261" s="2" t="s">
        <v>733</v>
      </c>
      <c r="N261" s="2" t="s">
        <v>41</v>
      </c>
      <c r="O261" s="2" t="s">
        <v>52</v>
      </c>
      <c r="P261" s="4">
        <v>221.55</v>
      </c>
      <c r="Q261" s="2">
        <v>3</v>
      </c>
      <c r="R261" s="3">
        <v>0</v>
      </c>
      <c r="S261" s="4">
        <v>6.6464999999999996</v>
      </c>
      <c r="T261" s="2" t="str">
        <f>TEXT(SalesData[[#This Row],[Order Date]],"mmm")</f>
        <v>Jan</v>
      </c>
      <c r="U261" s="2">
        <f>YEAR(SalesData[[#This Row],[Order Date]])</f>
        <v>2017</v>
      </c>
      <c r="V261" s="2" t="str">
        <f>IF(SalesData[[#This Row],[Profit]]&gt;0,"Profit","Loss")</f>
        <v>Profit</v>
      </c>
      <c r="W261" s="2" t="str">
        <f>IF(SalesData[[#This Row],[Profit]]&gt;100,"High Profit",
IF(SalesData[[#This Row],[Profit]]&gt;0,"Low Profit","Loss"))</f>
        <v>Low Profit</v>
      </c>
      <c r="X261" s="2" t="str">
        <f>IF(AND(SalesData[[#This Row],[Sales]]&gt;500,SalesData[[#This Row],[Profit]]&gt;0),"Good Order","Review")</f>
        <v>Review</v>
      </c>
      <c r="Y261" s="2"/>
      <c r="Z261" s="2"/>
      <c r="AA261" s="2"/>
      <c r="AB261" s="2"/>
    </row>
    <row r="262" spans="1:28" x14ac:dyDescent="0.3">
      <c r="A262" s="2">
        <v>261</v>
      </c>
      <c r="B262" s="2" t="s">
        <v>729</v>
      </c>
      <c r="C262" s="5">
        <v>42747</v>
      </c>
      <c r="D262" s="2" t="s">
        <v>20</v>
      </c>
      <c r="E262" s="2" t="s">
        <v>730</v>
      </c>
      <c r="F262" s="2" t="s">
        <v>731</v>
      </c>
      <c r="G262" s="2" t="s">
        <v>23</v>
      </c>
      <c r="H262" s="2" t="s">
        <v>24</v>
      </c>
      <c r="I262" s="2" t="s">
        <v>211</v>
      </c>
      <c r="J262" s="2" t="s">
        <v>212</v>
      </c>
      <c r="K262" s="2">
        <v>10009</v>
      </c>
      <c r="L262" s="2" t="s">
        <v>122</v>
      </c>
      <c r="M262" s="2" t="s">
        <v>734</v>
      </c>
      <c r="N262" s="2" t="s">
        <v>41</v>
      </c>
      <c r="O262" s="2" t="s">
        <v>64</v>
      </c>
      <c r="P262" s="4">
        <v>17.52</v>
      </c>
      <c r="Q262" s="2">
        <v>5</v>
      </c>
      <c r="R262" s="3">
        <v>0.2</v>
      </c>
      <c r="S262" s="4">
        <v>6.1319999999999997</v>
      </c>
      <c r="T262" s="2" t="str">
        <f>TEXT(SalesData[[#This Row],[Order Date]],"mmm")</f>
        <v>Jan</v>
      </c>
      <c r="U262" s="2">
        <f>YEAR(SalesData[[#This Row],[Order Date]])</f>
        <v>2017</v>
      </c>
      <c r="V262" s="2" t="str">
        <f>IF(SalesData[[#This Row],[Profit]]&gt;0,"Profit","Loss")</f>
        <v>Profit</v>
      </c>
      <c r="W262" s="2" t="str">
        <f>IF(SalesData[[#This Row],[Profit]]&gt;100,"High Profit",
IF(SalesData[[#This Row],[Profit]]&gt;0,"Low Profit","Loss"))</f>
        <v>Low Profit</v>
      </c>
      <c r="X262" s="2" t="str">
        <f>IF(AND(SalesData[[#This Row],[Sales]]&gt;500,SalesData[[#This Row],[Profit]]&gt;0),"Good Order","Review")</f>
        <v>Review</v>
      </c>
      <c r="Y262" s="2"/>
      <c r="Z262" s="2"/>
      <c r="AA262" s="2"/>
      <c r="AB262" s="2"/>
    </row>
    <row r="263" spans="1:28" x14ac:dyDescent="0.3">
      <c r="A263" s="2">
        <v>262</v>
      </c>
      <c r="B263" s="2" t="s">
        <v>735</v>
      </c>
      <c r="C263" s="5">
        <v>42953</v>
      </c>
      <c r="D263" s="2" t="s">
        <v>44</v>
      </c>
      <c r="E263" s="2" t="s">
        <v>736</v>
      </c>
      <c r="F263" s="2" t="s">
        <v>737</v>
      </c>
      <c r="G263" s="2" t="s">
        <v>36</v>
      </c>
      <c r="H263" s="2" t="s">
        <v>24</v>
      </c>
      <c r="I263" s="2" t="s">
        <v>461</v>
      </c>
      <c r="J263" s="2" t="s">
        <v>87</v>
      </c>
      <c r="K263" s="2">
        <v>77506</v>
      </c>
      <c r="L263" s="2" t="s">
        <v>88</v>
      </c>
      <c r="M263" s="2" t="s">
        <v>738</v>
      </c>
      <c r="N263" s="2" t="s">
        <v>41</v>
      </c>
      <c r="O263" s="2" t="s">
        <v>66</v>
      </c>
      <c r="P263" s="4">
        <v>1.6240000000000001</v>
      </c>
      <c r="Q263" s="2">
        <v>2</v>
      </c>
      <c r="R263" s="3">
        <v>0.8</v>
      </c>
      <c r="S263" s="4">
        <v>-4.4660000000000002</v>
      </c>
      <c r="T263" s="2" t="str">
        <f>TEXT(SalesData[[#This Row],[Order Date]],"mmm")</f>
        <v>Aug</v>
      </c>
      <c r="U263" s="2">
        <f>YEAR(SalesData[[#This Row],[Order Date]])</f>
        <v>2017</v>
      </c>
      <c r="V263" s="2" t="str">
        <f>IF(SalesData[[#This Row],[Profit]]&gt;0,"Profit","Loss")</f>
        <v>Loss</v>
      </c>
      <c r="W263" s="2" t="str">
        <f>IF(SalesData[[#This Row],[Profit]]&gt;100,"High Profit",
IF(SalesData[[#This Row],[Profit]]&gt;0,"Low Profit","Loss"))</f>
        <v>Loss</v>
      </c>
      <c r="X263" s="2" t="str">
        <f>IF(AND(SalesData[[#This Row],[Sales]]&gt;500,SalesData[[#This Row],[Profit]]&gt;0),"Good Order","Review")</f>
        <v>Review</v>
      </c>
      <c r="Y263" s="2"/>
      <c r="Z263" s="2"/>
      <c r="AA263" s="2"/>
      <c r="AB263" s="2"/>
    </row>
    <row r="264" spans="1:28" x14ac:dyDescent="0.3">
      <c r="A264" s="2">
        <v>263</v>
      </c>
      <c r="B264" s="2" t="s">
        <v>739</v>
      </c>
      <c r="C264" s="5">
        <v>41901</v>
      </c>
      <c r="D264" s="2" t="s">
        <v>20</v>
      </c>
      <c r="E264" s="2" t="s">
        <v>740</v>
      </c>
      <c r="F264" s="2" t="s">
        <v>741</v>
      </c>
      <c r="G264" s="2" t="s">
        <v>36</v>
      </c>
      <c r="H264" s="2" t="s">
        <v>24</v>
      </c>
      <c r="I264" s="2" t="s">
        <v>148</v>
      </c>
      <c r="J264" s="2" t="s">
        <v>87</v>
      </c>
      <c r="K264" s="2">
        <v>77036</v>
      </c>
      <c r="L264" s="2" t="s">
        <v>88</v>
      </c>
      <c r="M264" s="2" t="s">
        <v>524</v>
      </c>
      <c r="N264" s="2" t="s">
        <v>61</v>
      </c>
      <c r="O264" s="2" t="s">
        <v>525</v>
      </c>
      <c r="P264" s="4">
        <v>3059.982</v>
      </c>
      <c r="Q264" s="2">
        <v>3</v>
      </c>
      <c r="R264" s="3">
        <v>0.4</v>
      </c>
      <c r="S264" s="4">
        <v>-509.99700000000001</v>
      </c>
      <c r="T264" s="2" t="str">
        <f>TEXT(SalesData[[#This Row],[Order Date]],"mmm")</f>
        <v>Sep</v>
      </c>
      <c r="U264" s="2">
        <f>YEAR(SalesData[[#This Row],[Order Date]])</f>
        <v>2014</v>
      </c>
      <c r="V264" s="2" t="str">
        <f>IF(SalesData[[#This Row],[Profit]]&gt;0,"Profit","Loss")</f>
        <v>Loss</v>
      </c>
      <c r="W264" s="2" t="str">
        <f>IF(SalesData[[#This Row],[Profit]]&gt;100,"High Profit",
IF(SalesData[[#This Row],[Profit]]&gt;0,"Low Profit","Loss"))</f>
        <v>Loss</v>
      </c>
      <c r="X264" s="2" t="str">
        <f>IF(AND(SalesData[[#This Row],[Sales]]&gt;500,SalesData[[#This Row],[Profit]]&gt;0),"Good Order","Review")</f>
        <v>Review</v>
      </c>
      <c r="Y264" s="2"/>
      <c r="Z264" s="2"/>
      <c r="AA264" s="2"/>
      <c r="AB264" s="2"/>
    </row>
    <row r="265" spans="1:28" x14ac:dyDescent="0.3">
      <c r="A265" s="2">
        <v>264</v>
      </c>
      <c r="B265" s="2" t="s">
        <v>739</v>
      </c>
      <c r="C265" s="5">
        <v>41901</v>
      </c>
      <c r="D265" s="2" t="s">
        <v>20</v>
      </c>
      <c r="E265" s="2" t="s">
        <v>740</v>
      </c>
      <c r="F265" s="2" t="s">
        <v>741</v>
      </c>
      <c r="G265" s="2" t="s">
        <v>36</v>
      </c>
      <c r="H265" s="2" t="s">
        <v>24</v>
      </c>
      <c r="I265" s="2" t="s">
        <v>148</v>
      </c>
      <c r="J265" s="2" t="s">
        <v>87</v>
      </c>
      <c r="K265" s="2">
        <v>77036</v>
      </c>
      <c r="L265" s="2" t="s">
        <v>88</v>
      </c>
      <c r="M265" s="2" t="s">
        <v>742</v>
      </c>
      <c r="N265" s="2" t="s">
        <v>61</v>
      </c>
      <c r="O265" s="2" t="s">
        <v>525</v>
      </c>
      <c r="P265" s="4">
        <v>2519.9580000000001</v>
      </c>
      <c r="Q265" s="2">
        <v>7</v>
      </c>
      <c r="R265" s="3">
        <v>0.4</v>
      </c>
      <c r="S265" s="4">
        <v>-251.9958</v>
      </c>
      <c r="T265" s="2" t="str">
        <f>TEXT(SalesData[[#This Row],[Order Date]],"mmm")</f>
        <v>Sep</v>
      </c>
      <c r="U265" s="2">
        <f>YEAR(SalesData[[#This Row],[Order Date]])</f>
        <v>2014</v>
      </c>
      <c r="V265" s="2" t="str">
        <f>IF(SalesData[[#This Row],[Profit]]&gt;0,"Profit","Loss")</f>
        <v>Loss</v>
      </c>
      <c r="W265" s="2" t="str">
        <f>IF(SalesData[[#This Row],[Profit]]&gt;100,"High Profit",
IF(SalesData[[#This Row],[Profit]]&gt;0,"Low Profit","Loss"))</f>
        <v>Loss</v>
      </c>
      <c r="X265" s="2" t="str">
        <f>IF(AND(SalesData[[#This Row],[Sales]]&gt;500,SalesData[[#This Row],[Profit]]&gt;0),"Good Order","Review")</f>
        <v>Review</v>
      </c>
      <c r="Y265" s="2"/>
      <c r="Z265" s="2"/>
      <c r="AA265" s="2"/>
      <c r="AB265" s="2"/>
    </row>
    <row r="266" spans="1:28" x14ac:dyDescent="0.3">
      <c r="A266" s="2">
        <v>265</v>
      </c>
      <c r="B266" s="2" t="s">
        <v>743</v>
      </c>
      <c r="C266" s="5">
        <v>42527</v>
      </c>
      <c r="D266" s="2" t="s">
        <v>44</v>
      </c>
      <c r="E266" s="2" t="s">
        <v>744</v>
      </c>
      <c r="F266" s="2" t="s">
        <v>745</v>
      </c>
      <c r="G266" s="2" t="s">
        <v>23</v>
      </c>
      <c r="H266" s="2" t="s">
        <v>24</v>
      </c>
      <c r="I266" s="2" t="s">
        <v>236</v>
      </c>
      <c r="J266" s="2" t="s">
        <v>168</v>
      </c>
      <c r="K266" s="2">
        <v>60610</v>
      </c>
      <c r="L266" s="2" t="s">
        <v>88</v>
      </c>
      <c r="M266" s="2" t="s">
        <v>746</v>
      </c>
      <c r="N266" s="2" t="s">
        <v>61</v>
      </c>
      <c r="O266" s="2" t="s">
        <v>62</v>
      </c>
      <c r="P266" s="4">
        <v>328.22399999999999</v>
      </c>
      <c r="Q266" s="2">
        <v>4</v>
      </c>
      <c r="R266" s="3">
        <v>0.2</v>
      </c>
      <c r="S266" s="4">
        <v>28.7196</v>
      </c>
      <c r="T266" s="2" t="str">
        <f>TEXT(SalesData[[#This Row],[Order Date]],"mmm")</f>
        <v>Jun</v>
      </c>
      <c r="U266" s="2">
        <f>YEAR(SalesData[[#This Row],[Order Date]])</f>
        <v>2016</v>
      </c>
      <c r="V266" s="2" t="str">
        <f>IF(SalesData[[#This Row],[Profit]]&gt;0,"Profit","Loss")</f>
        <v>Profit</v>
      </c>
      <c r="W266" s="2" t="str">
        <f>IF(SalesData[[#This Row],[Profit]]&gt;100,"High Profit",
IF(SalesData[[#This Row],[Profit]]&gt;0,"Low Profit","Loss"))</f>
        <v>Low Profit</v>
      </c>
      <c r="X266" s="2" t="str">
        <f>IF(AND(SalesData[[#This Row],[Sales]]&gt;500,SalesData[[#This Row],[Profit]]&gt;0),"Good Order","Review")</f>
        <v>Review</v>
      </c>
      <c r="Y266" s="2"/>
      <c r="Z266" s="2"/>
      <c r="AA266" s="2"/>
      <c r="AB266" s="2"/>
    </row>
    <row r="267" spans="1:28" x14ac:dyDescent="0.3">
      <c r="A267" s="2">
        <v>266</v>
      </c>
      <c r="B267" s="2" t="s">
        <v>747</v>
      </c>
      <c r="C267" s="5">
        <v>42288</v>
      </c>
      <c r="D267" s="2" t="s">
        <v>44</v>
      </c>
      <c r="E267" s="2" t="s">
        <v>748</v>
      </c>
      <c r="F267" s="2" t="s">
        <v>749</v>
      </c>
      <c r="G267" s="2" t="s">
        <v>23</v>
      </c>
      <c r="H267" s="2" t="s">
        <v>24</v>
      </c>
      <c r="I267" s="2" t="s">
        <v>750</v>
      </c>
      <c r="J267" s="2" t="s">
        <v>38</v>
      </c>
      <c r="K267" s="2">
        <v>94513</v>
      </c>
      <c r="L267" s="2" t="s">
        <v>39</v>
      </c>
      <c r="M267" s="2" t="s">
        <v>751</v>
      </c>
      <c r="N267" s="2" t="s">
        <v>61</v>
      </c>
      <c r="O267" s="2" t="s">
        <v>133</v>
      </c>
      <c r="P267" s="4">
        <v>79.900000000000006</v>
      </c>
      <c r="Q267" s="2">
        <v>2</v>
      </c>
      <c r="R267" s="3">
        <v>0</v>
      </c>
      <c r="S267" s="4">
        <v>35.155999999999999</v>
      </c>
      <c r="T267" s="2" t="str">
        <f>TEXT(SalesData[[#This Row],[Order Date]],"mmm")</f>
        <v>Oct</v>
      </c>
      <c r="U267" s="2">
        <f>YEAR(SalesData[[#This Row],[Order Date]])</f>
        <v>2015</v>
      </c>
      <c r="V267" s="2" t="str">
        <f>IF(SalesData[[#This Row],[Profit]]&gt;0,"Profit","Loss")</f>
        <v>Profit</v>
      </c>
      <c r="W267" s="2" t="str">
        <f>IF(SalesData[[#This Row],[Profit]]&gt;100,"High Profit",
IF(SalesData[[#This Row],[Profit]]&gt;0,"Low Profit","Loss"))</f>
        <v>Low Profit</v>
      </c>
      <c r="X267" s="2" t="str">
        <f>IF(AND(SalesData[[#This Row],[Sales]]&gt;500,SalesData[[#This Row],[Profit]]&gt;0),"Good Order","Review")</f>
        <v>Review</v>
      </c>
      <c r="Y267" s="2"/>
      <c r="Z267" s="2"/>
      <c r="AA267" s="2"/>
      <c r="AB267" s="2"/>
    </row>
    <row r="268" spans="1:28" x14ac:dyDescent="0.3">
      <c r="A268" s="2">
        <v>267</v>
      </c>
      <c r="B268" s="2" t="s">
        <v>752</v>
      </c>
      <c r="C268" s="5">
        <v>42902</v>
      </c>
      <c r="D268" s="2" t="s">
        <v>44</v>
      </c>
      <c r="E268" s="2" t="s">
        <v>753</v>
      </c>
      <c r="F268" s="2" t="s">
        <v>754</v>
      </c>
      <c r="G268" s="2" t="s">
        <v>36</v>
      </c>
      <c r="H268" s="2" t="s">
        <v>24</v>
      </c>
      <c r="I268" s="2" t="s">
        <v>755</v>
      </c>
      <c r="J268" s="2" t="s">
        <v>73</v>
      </c>
      <c r="K268" s="2">
        <v>27514</v>
      </c>
      <c r="L268" s="2" t="s">
        <v>27</v>
      </c>
      <c r="M268" s="2" t="s">
        <v>756</v>
      </c>
      <c r="N268" s="2" t="s">
        <v>41</v>
      </c>
      <c r="O268" s="2" t="s">
        <v>59</v>
      </c>
      <c r="P268" s="4">
        <v>14.016</v>
      </c>
      <c r="Q268" s="2">
        <v>3</v>
      </c>
      <c r="R268" s="3">
        <v>0.2</v>
      </c>
      <c r="S268" s="4">
        <v>4.7304000000000004</v>
      </c>
      <c r="T268" s="2" t="str">
        <f>TEXT(SalesData[[#This Row],[Order Date]],"mmm")</f>
        <v>Jun</v>
      </c>
      <c r="U268" s="2">
        <f>YEAR(SalesData[[#This Row],[Order Date]])</f>
        <v>2017</v>
      </c>
      <c r="V268" s="2" t="str">
        <f>IF(SalesData[[#This Row],[Profit]]&gt;0,"Profit","Loss")</f>
        <v>Profit</v>
      </c>
      <c r="W268" s="2" t="str">
        <f>IF(SalesData[[#This Row],[Profit]]&gt;100,"High Profit",
IF(SalesData[[#This Row],[Profit]]&gt;0,"Low Profit","Loss"))</f>
        <v>Low Profit</v>
      </c>
      <c r="X268" s="2" t="str">
        <f>IF(AND(SalesData[[#This Row],[Sales]]&gt;500,SalesData[[#This Row],[Profit]]&gt;0),"Good Order","Review")</f>
        <v>Review</v>
      </c>
      <c r="Y268" s="2"/>
      <c r="Z268" s="2"/>
      <c r="AA268" s="2"/>
      <c r="AB268" s="2"/>
    </row>
    <row r="269" spans="1:28" x14ac:dyDescent="0.3">
      <c r="A269" s="2">
        <v>268</v>
      </c>
      <c r="B269" s="2" t="s">
        <v>757</v>
      </c>
      <c r="C269" s="5">
        <v>42391</v>
      </c>
      <c r="D269" s="2" t="s">
        <v>44</v>
      </c>
      <c r="E269" s="2" t="s">
        <v>300</v>
      </c>
      <c r="F269" s="2" t="s">
        <v>301</v>
      </c>
      <c r="G269" s="2" t="s">
        <v>23</v>
      </c>
      <c r="H269" s="2" t="s">
        <v>24</v>
      </c>
      <c r="I269" s="2" t="s">
        <v>758</v>
      </c>
      <c r="J269" s="2" t="s">
        <v>602</v>
      </c>
      <c r="K269" s="2">
        <v>7960</v>
      </c>
      <c r="L269" s="2" t="s">
        <v>122</v>
      </c>
      <c r="M269" s="2" t="s">
        <v>759</v>
      </c>
      <c r="N269" s="2" t="s">
        <v>41</v>
      </c>
      <c r="O269" s="2" t="s">
        <v>214</v>
      </c>
      <c r="P269" s="4">
        <v>7.56</v>
      </c>
      <c r="Q269" s="2">
        <v>6</v>
      </c>
      <c r="R269" s="3">
        <v>0</v>
      </c>
      <c r="S269" s="4">
        <v>0.3024</v>
      </c>
      <c r="T269" s="2" t="str">
        <f>TEXT(SalesData[[#This Row],[Order Date]],"mmm")</f>
        <v>Jan</v>
      </c>
      <c r="U269" s="2">
        <f>YEAR(SalesData[[#This Row],[Order Date]])</f>
        <v>2016</v>
      </c>
      <c r="V269" s="2" t="str">
        <f>IF(SalesData[[#This Row],[Profit]]&gt;0,"Profit","Loss")</f>
        <v>Profit</v>
      </c>
      <c r="W269" s="2" t="str">
        <f>IF(SalesData[[#This Row],[Profit]]&gt;100,"High Profit",
IF(SalesData[[#This Row],[Profit]]&gt;0,"Low Profit","Loss"))</f>
        <v>Low Profit</v>
      </c>
      <c r="X269" s="2" t="str">
        <f>IF(AND(SalesData[[#This Row],[Sales]]&gt;500,SalesData[[#This Row],[Profit]]&gt;0),"Good Order","Review")</f>
        <v>Review</v>
      </c>
      <c r="Y269" s="2"/>
      <c r="Z269" s="2"/>
      <c r="AA269" s="2"/>
      <c r="AB269" s="2"/>
    </row>
    <row r="270" spans="1:28" x14ac:dyDescent="0.3">
      <c r="A270" s="2">
        <v>269</v>
      </c>
      <c r="B270" s="2" t="s">
        <v>760</v>
      </c>
      <c r="C270" s="5">
        <v>42990</v>
      </c>
      <c r="D270" s="2" t="s">
        <v>44</v>
      </c>
      <c r="E270" s="2" t="s">
        <v>761</v>
      </c>
      <c r="F270" s="2" t="s">
        <v>762</v>
      </c>
      <c r="G270" s="2" t="s">
        <v>36</v>
      </c>
      <c r="H270" s="2" t="s">
        <v>24</v>
      </c>
      <c r="I270" s="2" t="s">
        <v>763</v>
      </c>
      <c r="J270" s="2" t="s">
        <v>385</v>
      </c>
      <c r="K270" s="2">
        <v>45231</v>
      </c>
      <c r="L270" s="2" t="s">
        <v>122</v>
      </c>
      <c r="M270" s="2" t="s">
        <v>764</v>
      </c>
      <c r="N270" s="2" t="s">
        <v>41</v>
      </c>
      <c r="O270" s="2" t="s">
        <v>52</v>
      </c>
      <c r="P270" s="4">
        <v>37.207999999999998</v>
      </c>
      <c r="Q270" s="2">
        <v>1</v>
      </c>
      <c r="R270" s="3">
        <v>0.2</v>
      </c>
      <c r="S270" s="4">
        <v>-7.4416000000000002</v>
      </c>
      <c r="T270" s="2" t="str">
        <f>TEXT(SalesData[[#This Row],[Order Date]],"mmm")</f>
        <v>Sep</v>
      </c>
      <c r="U270" s="2">
        <f>YEAR(SalesData[[#This Row],[Order Date]])</f>
        <v>2017</v>
      </c>
      <c r="V270" s="2" t="str">
        <f>IF(SalesData[[#This Row],[Profit]]&gt;0,"Profit","Loss")</f>
        <v>Loss</v>
      </c>
      <c r="W270" s="2" t="str">
        <f>IF(SalesData[[#This Row],[Profit]]&gt;100,"High Profit",
IF(SalesData[[#This Row],[Profit]]&gt;0,"Low Profit","Loss"))</f>
        <v>Loss</v>
      </c>
      <c r="X270" s="2" t="str">
        <f>IF(AND(SalesData[[#This Row],[Sales]]&gt;500,SalesData[[#This Row],[Profit]]&gt;0),"Good Order","Review")</f>
        <v>Review</v>
      </c>
      <c r="Y270" s="2"/>
      <c r="Z270" s="2"/>
      <c r="AA270" s="2"/>
      <c r="AB270" s="2"/>
    </row>
    <row r="271" spans="1:28" x14ac:dyDescent="0.3">
      <c r="A271" s="2">
        <v>270</v>
      </c>
      <c r="B271" s="2" t="s">
        <v>760</v>
      </c>
      <c r="C271" s="5">
        <v>42990</v>
      </c>
      <c r="D271" s="2" t="s">
        <v>44</v>
      </c>
      <c r="E271" s="2" t="s">
        <v>761</v>
      </c>
      <c r="F271" s="2" t="s">
        <v>762</v>
      </c>
      <c r="G271" s="2" t="s">
        <v>36</v>
      </c>
      <c r="H271" s="2" t="s">
        <v>24</v>
      </c>
      <c r="I271" s="2" t="s">
        <v>763</v>
      </c>
      <c r="J271" s="2" t="s">
        <v>385</v>
      </c>
      <c r="K271" s="2">
        <v>45231</v>
      </c>
      <c r="L271" s="2" t="s">
        <v>122</v>
      </c>
      <c r="M271" s="2" t="s">
        <v>765</v>
      </c>
      <c r="N271" s="2" t="s">
        <v>41</v>
      </c>
      <c r="O271" s="2" t="s">
        <v>141</v>
      </c>
      <c r="P271" s="4">
        <v>57.576000000000001</v>
      </c>
      <c r="Q271" s="2">
        <v>3</v>
      </c>
      <c r="R271" s="3">
        <v>0.2</v>
      </c>
      <c r="S271" s="4">
        <v>21.591000000000001</v>
      </c>
      <c r="T271" s="2" t="str">
        <f>TEXT(SalesData[[#This Row],[Order Date]],"mmm")</f>
        <v>Sep</v>
      </c>
      <c r="U271" s="2">
        <f>YEAR(SalesData[[#This Row],[Order Date]])</f>
        <v>2017</v>
      </c>
      <c r="V271" s="2" t="str">
        <f>IF(SalesData[[#This Row],[Profit]]&gt;0,"Profit","Loss")</f>
        <v>Profit</v>
      </c>
      <c r="W271" s="2" t="str">
        <f>IF(SalesData[[#This Row],[Profit]]&gt;100,"High Profit",
IF(SalesData[[#This Row],[Profit]]&gt;0,"Low Profit","Loss"))</f>
        <v>Low Profit</v>
      </c>
      <c r="X271" s="2" t="str">
        <f>IF(AND(SalesData[[#This Row],[Sales]]&gt;500,SalesData[[#This Row],[Profit]]&gt;0),"Good Order","Review")</f>
        <v>Review</v>
      </c>
      <c r="Y271" s="2"/>
      <c r="Z271" s="2"/>
      <c r="AA271" s="2"/>
      <c r="AB271" s="2"/>
    </row>
    <row r="272" spans="1:28" x14ac:dyDescent="0.3">
      <c r="A272" s="2">
        <v>271</v>
      </c>
      <c r="B272" s="2" t="s">
        <v>766</v>
      </c>
      <c r="C272" s="5">
        <v>43097</v>
      </c>
      <c r="D272" s="2" t="s">
        <v>20</v>
      </c>
      <c r="E272" s="2" t="s">
        <v>767</v>
      </c>
      <c r="F272" s="2" t="s">
        <v>768</v>
      </c>
      <c r="G272" s="2" t="s">
        <v>36</v>
      </c>
      <c r="H272" s="2" t="s">
        <v>24</v>
      </c>
      <c r="I272" s="2" t="s">
        <v>106</v>
      </c>
      <c r="J272" s="2" t="s">
        <v>38</v>
      </c>
      <c r="K272" s="2">
        <v>94110</v>
      </c>
      <c r="L272" s="2" t="s">
        <v>39</v>
      </c>
      <c r="M272" s="2" t="s">
        <v>769</v>
      </c>
      <c r="N272" s="2" t="s">
        <v>41</v>
      </c>
      <c r="O272" s="2" t="s">
        <v>52</v>
      </c>
      <c r="P272" s="4">
        <v>725.84</v>
      </c>
      <c r="Q272" s="2">
        <v>4</v>
      </c>
      <c r="R272" s="3">
        <v>0</v>
      </c>
      <c r="S272" s="4">
        <v>210.49359999999999</v>
      </c>
      <c r="T272" s="2" t="str">
        <f>TEXT(SalesData[[#This Row],[Order Date]],"mmm")</f>
        <v>Dec</v>
      </c>
      <c r="U272" s="2">
        <f>YEAR(SalesData[[#This Row],[Order Date]])</f>
        <v>2017</v>
      </c>
      <c r="V272" s="2" t="str">
        <f>IF(SalesData[[#This Row],[Profit]]&gt;0,"Profit","Loss")</f>
        <v>Profit</v>
      </c>
      <c r="W272" s="2" t="str">
        <f>IF(SalesData[[#This Row],[Profit]]&gt;100,"High Profit",
IF(SalesData[[#This Row],[Profit]]&gt;0,"Low Profit","Loss"))</f>
        <v>High Profit</v>
      </c>
      <c r="X272" s="2" t="str">
        <f>IF(AND(SalesData[[#This Row],[Sales]]&gt;500,SalesData[[#This Row],[Profit]]&gt;0),"Good Order","Review")</f>
        <v>Good Order</v>
      </c>
      <c r="Y272" s="2"/>
      <c r="Z272" s="2"/>
      <c r="AA272" s="2"/>
      <c r="AB272" s="2"/>
    </row>
    <row r="273" spans="1:28" x14ac:dyDescent="0.3">
      <c r="A273" s="2">
        <v>272</v>
      </c>
      <c r="B273" s="2" t="s">
        <v>770</v>
      </c>
      <c r="C273" s="5">
        <v>42215</v>
      </c>
      <c r="D273" s="2" t="s">
        <v>151</v>
      </c>
      <c r="E273" s="2" t="s">
        <v>459</v>
      </c>
      <c r="F273" s="2" t="s">
        <v>460</v>
      </c>
      <c r="G273" s="2" t="s">
        <v>23</v>
      </c>
      <c r="H273" s="2" t="s">
        <v>24</v>
      </c>
      <c r="I273" s="2" t="s">
        <v>106</v>
      </c>
      <c r="J273" s="2" t="s">
        <v>38</v>
      </c>
      <c r="K273" s="2">
        <v>94109</v>
      </c>
      <c r="L273" s="2" t="s">
        <v>39</v>
      </c>
      <c r="M273" s="2" t="s">
        <v>771</v>
      </c>
      <c r="N273" s="2" t="s">
        <v>61</v>
      </c>
      <c r="O273" s="2" t="s">
        <v>133</v>
      </c>
      <c r="P273" s="4">
        <v>209.93</v>
      </c>
      <c r="Q273" s="2">
        <v>7</v>
      </c>
      <c r="R273" s="3">
        <v>0</v>
      </c>
      <c r="S273" s="4">
        <v>92.369200000000006</v>
      </c>
      <c r="T273" s="2" t="str">
        <f>TEXT(SalesData[[#This Row],[Order Date]],"mmm")</f>
        <v>Jul</v>
      </c>
      <c r="U273" s="2">
        <f>YEAR(SalesData[[#This Row],[Order Date]])</f>
        <v>2015</v>
      </c>
      <c r="V273" s="2" t="str">
        <f>IF(SalesData[[#This Row],[Profit]]&gt;0,"Profit","Loss")</f>
        <v>Profit</v>
      </c>
      <c r="W273" s="2" t="str">
        <f>IF(SalesData[[#This Row],[Profit]]&gt;100,"High Profit",
IF(SalesData[[#This Row],[Profit]]&gt;0,"Low Profit","Loss"))</f>
        <v>Low Profit</v>
      </c>
      <c r="X273" s="2" t="str">
        <f>IF(AND(SalesData[[#This Row],[Sales]]&gt;500,SalesData[[#This Row],[Profit]]&gt;0),"Good Order","Review")</f>
        <v>Review</v>
      </c>
      <c r="Y273" s="2"/>
      <c r="Z273" s="2"/>
      <c r="AA273" s="2"/>
      <c r="AB273" s="2"/>
    </row>
    <row r="274" spans="1:28" x14ac:dyDescent="0.3">
      <c r="A274" s="2">
        <v>273</v>
      </c>
      <c r="B274" s="2" t="s">
        <v>770</v>
      </c>
      <c r="C274" s="5">
        <v>42215</v>
      </c>
      <c r="D274" s="2" t="s">
        <v>151</v>
      </c>
      <c r="E274" s="2" t="s">
        <v>459</v>
      </c>
      <c r="F274" s="2" t="s">
        <v>460</v>
      </c>
      <c r="G274" s="2" t="s">
        <v>23</v>
      </c>
      <c r="H274" s="2" t="s">
        <v>24</v>
      </c>
      <c r="I274" s="2" t="s">
        <v>106</v>
      </c>
      <c r="J274" s="2" t="s">
        <v>38</v>
      </c>
      <c r="K274" s="2">
        <v>94109</v>
      </c>
      <c r="L274" s="2" t="s">
        <v>39</v>
      </c>
      <c r="M274" s="2" t="s">
        <v>772</v>
      </c>
      <c r="N274" s="2" t="s">
        <v>29</v>
      </c>
      <c r="O274" s="2" t="s">
        <v>57</v>
      </c>
      <c r="P274" s="4">
        <v>5.28</v>
      </c>
      <c r="Q274" s="2">
        <v>3</v>
      </c>
      <c r="R274" s="3">
        <v>0</v>
      </c>
      <c r="S274" s="4">
        <v>2.3231999999999999</v>
      </c>
      <c r="T274" s="2" t="str">
        <f>TEXT(SalesData[[#This Row],[Order Date]],"mmm")</f>
        <v>Jul</v>
      </c>
      <c r="U274" s="2">
        <f>YEAR(SalesData[[#This Row],[Order Date]])</f>
        <v>2015</v>
      </c>
      <c r="V274" s="2" t="str">
        <f>IF(SalesData[[#This Row],[Profit]]&gt;0,"Profit","Loss")</f>
        <v>Profit</v>
      </c>
      <c r="W274" s="2" t="str">
        <f>IF(SalesData[[#This Row],[Profit]]&gt;100,"High Profit",
IF(SalesData[[#This Row],[Profit]]&gt;0,"Low Profit","Loss"))</f>
        <v>Low Profit</v>
      </c>
      <c r="X274" s="2" t="str">
        <f>IF(AND(SalesData[[#This Row],[Sales]]&gt;500,SalesData[[#This Row],[Profit]]&gt;0),"Good Order","Review")</f>
        <v>Review</v>
      </c>
      <c r="Y274" s="2"/>
      <c r="Z274" s="2"/>
      <c r="AA274" s="2"/>
      <c r="AB274" s="2"/>
    </row>
    <row r="275" spans="1:28" x14ac:dyDescent="0.3">
      <c r="A275" s="2">
        <v>274</v>
      </c>
      <c r="B275" s="2" t="s">
        <v>770</v>
      </c>
      <c r="C275" s="5">
        <v>42215</v>
      </c>
      <c r="D275" s="2" t="s">
        <v>151</v>
      </c>
      <c r="E275" s="2" t="s">
        <v>459</v>
      </c>
      <c r="F275" s="2" t="s">
        <v>460</v>
      </c>
      <c r="G275" s="2" t="s">
        <v>23</v>
      </c>
      <c r="H275" s="2" t="s">
        <v>24</v>
      </c>
      <c r="I275" s="2" t="s">
        <v>106</v>
      </c>
      <c r="J275" s="2" t="s">
        <v>38</v>
      </c>
      <c r="K275" s="2">
        <v>94109</v>
      </c>
      <c r="L275" s="2" t="s">
        <v>39</v>
      </c>
      <c r="M275" s="2" t="s">
        <v>773</v>
      </c>
      <c r="N275" s="2" t="s">
        <v>41</v>
      </c>
      <c r="O275" s="2" t="s">
        <v>64</v>
      </c>
      <c r="P275" s="4">
        <v>10.92</v>
      </c>
      <c r="Q275" s="2">
        <v>3</v>
      </c>
      <c r="R275" s="3">
        <v>0.2</v>
      </c>
      <c r="S275" s="4">
        <v>4.0949999999999998</v>
      </c>
      <c r="T275" s="2" t="str">
        <f>TEXT(SalesData[[#This Row],[Order Date]],"mmm")</f>
        <v>Jul</v>
      </c>
      <c r="U275" s="2">
        <f>YEAR(SalesData[[#This Row],[Order Date]])</f>
        <v>2015</v>
      </c>
      <c r="V275" s="2" t="str">
        <f>IF(SalesData[[#This Row],[Profit]]&gt;0,"Profit","Loss")</f>
        <v>Profit</v>
      </c>
      <c r="W275" s="2" t="str">
        <f>IF(SalesData[[#This Row],[Profit]]&gt;100,"High Profit",
IF(SalesData[[#This Row],[Profit]]&gt;0,"Low Profit","Loss"))</f>
        <v>Low Profit</v>
      </c>
      <c r="X275" s="2" t="str">
        <f>IF(AND(SalesData[[#This Row],[Sales]]&gt;500,SalesData[[#This Row],[Profit]]&gt;0),"Good Order","Review")</f>
        <v>Review</v>
      </c>
      <c r="Y275" s="2"/>
      <c r="Z275" s="2"/>
      <c r="AA275" s="2"/>
      <c r="AB275" s="2"/>
    </row>
    <row r="276" spans="1:28" x14ac:dyDescent="0.3">
      <c r="A276" s="2">
        <v>275</v>
      </c>
      <c r="B276" s="2" t="s">
        <v>774</v>
      </c>
      <c r="C276" s="5">
        <v>42215</v>
      </c>
      <c r="D276" s="2" t="s">
        <v>151</v>
      </c>
      <c r="E276" s="2" t="s">
        <v>775</v>
      </c>
      <c r="F276" s="2" t="s">
        <v>776</v>
      </c>
      <c r="G276" s="2" t="s">
        <v>36</v>
      </c>
      <c r="H276" s="2" t="s">
        <v>24</v>
      </c>
      <c r="I276" s="2" t="s">
        <v>777</v>
      </c>
      <c r="J276" s="2" t="s">
        <v>38</v>
      </c>
      <c r="K276" s="2">
        <v>90301</v>
      </c>
      <c r="L276" s="2" t="s">
        <v>39</v>
      </c>
      <c r="M276" s="2" t="s">
        <v>778</v>
      </c>
      <c r="N276" s="2" t="s">
        <v>41</v>
      </c>
      <c r="O276" s="2" t="s">
        <v>75</v>
      </c>
      <c r="P276" s="4">
        <v>8.82</v>
      </c>
      <c r="Q276" s="2">
        <v>2</v>
      </c>
      <c r="R276" s="3">
        <v>0</v>
      </c>
      <c r="S276" s="4">
        <v>4.0571999999999999</v>
      </c>
      <c r="T276" s="2" t="str">
        <f>TEXT(SalesData[[#This Row],[Order Date]],"mmm")</f>
        <v>Jul</v>
      </c>
      <c r="U276" s="2">
        <f>YEAR(SalesData[[#This Row],[Order Date]])</f>
        <v>2015</v>
      </c>
      <c r="V276" s="2" t="str">
        <f>IF(SalesData[[#This Row],[Profit]]&gt;0,"Profit","Loss")</f>
        <v>Profit</v>
      </c>
      <c r="W276" s="2" t="str">
        <f>IF(SalesData[[#This Row],[Profit]]&gt;100,"High Profit",
IF(SalesData[[#This Row],[Profit]]&gt;0,"Low Profit","Loss"))</f>
        <v>Low Profit</v>
      </c>
      <c r="X276" s="2" t="str">
        <f>IF(AND(SalesData[[#This Row],[Sales]]&gt;500,SalesData[[#This Row],[Profit]]&gt;0),"Good Order","Review")</f>
        <v>Review</v>
      </c>
      <c r="Y276" s="2"/>
      <c r="Z276" s="2"/>
      <c r="AA276" s="2"/>
      <c r="AB276" s="2"/>
    </row>
    <row r="277" spans="1:28" x14ac:dyDescent="0.3">
      <c r="A277" s="2">
        <v>276</v>
      </c>
      <c r="B277" s="2" t="s">
        <v>774</v>
      </c>
      <c r="C277" s="5">
        <v>42215</v>
      </c>
      <c r="D277" s="2" t="s">
        <v>151</v>
      </c>
      <c r="E277" s="2" t="s">
        <v>775</v>
      </c>
      <c r="F277" s="2" t="s">
        <v>776</v>
      </c>
      <c r="G277" s="2" t="s">
        <v>36</v>
      </c>
      <c r="H277" s="2" t="s">
        <v>24</v>
      </c>
      <c r="I277" s="2" t="s">
        <v>777</v>
      </c>
      <c r="J277" s="2" t="s">
        <v>38</v>
      </c>
      <c r="K277" s="2">
        <v>90301</v>
      </c>
      <c r="L277" s="2" t="s">
        <v>39</v>
      </c>
      <c r="M277" s="2" t="s">
        <v>779</v>
      </c>
      <c r="N277" s="2" t="s">
        <v>41</v>
      </c>
      <c r="O277" s="2" t="s">
        <v>59</v>
      </c>
      <c r="P277" s="4">
        <v>5.98</v>
      </c>
      <c r="Q277" s="2">
        <v>1</v>
      </c>
      <c r="R277" s="3">
        <v>0</v>
      </c>
      <c r="S277" s="4">
        <v>1.5548</v>
      </c>
      <c r="T277" s="2" t="str">
        <f>TEXT(SalesData[[#This Row],[Order Date]],"mmm")</f>
        <v>Jul</v>
      </c>
      <c r="U277" s="2">
        <f>YEAR(SalesData[[#This Row],[Order Date]])</f>
        <v>2015</v>
      </c>
      <c r="V277" s="2" t="str">
        <f>IF(SalesData[[#This Row],[Profit]]&gt;0,"Profit","Loss")</f>
        <v>Profit</v>
      </c>
      <c r="W277" s="2" t="str">
        <f>IF(SalesData[[#This Row],[Profit]]&gt;100,"High Profit",
IF(SalesData[[#This Row],[Profit]]&gt;0,"Low Profit","Loss"))</f>
        <v>Low Profit</v>
      </c>
      <c r="X277" s="2" t="str">
        <f>IF(AND(SalesData[[#This Row],[Sales]]&gt;500,SalesData[[#This Row],[Profit]]&gt;0),"Good Order","Review")</f>
        <v>Review</v>
      </c>
      <c r="Y277" s="2"/>
      <c r="Z277" s="2"/>
      <c r="AA277" s="2"/>
      <c r="AB277" s="2"/>
    </row>
    <row r="278" spans="1:28" x14ac:dyDescent="0.3">
      <c r="A278" s="2">
        <v>277</v>
      </c>
      <c r="B278" s="2" t="s">
        <v>780</v>
      </c>
      <c r="C278" s="5">
        <v>43018</v>
      </c>
      <c r="D278" s="2" t="s">
        <v>44</v>
      </c>
      <c r="E278" s="2" t="s">
        <v>781</v>
      </c>
      <c r="F278" s="2" t="s">
        <v>782</v>
      </c>
      <c r="G278" s="2" t="s">
        <v>36</v>
      </c>
      <c r="H278" s="2" t="s">
        <v>24</v>
      </c>
      <c r="I278" s="2" t="s">
        <v>120</v>
      </c>
      <c r="J278" s="2" t="s">
        <v>121</v>
      </c>
      <c r="K278" s="2">
        <v>19140</v>
      </c>
      <c r="L278" s="2" t="s">
        <v>122</v>
      </c>
      <c r="M278" s="2" t="s">
        <v>783</v>
      </c>
      <c r="N278" s="2" t="s">
        <v>41</v>
      </c>
      <c r="O278" s="2" t="s">
        <v>75</v>
      </c>
      <c r="P278" s="4">
        <v>11.648</v>
      </c>
      <c r="Q278" s="2">
        <v>2</v>
      </c>
      <c r="R278" s="3">
        <v>0.2</v>
      </c>
      <c r="S278" s="4">
        <v>4.0768000000000004</v>
      </c>
      <c r="T278" s="2" t="str">
        <f>TEXT(SalesData[[#This Row],[Order Date]],"mmm")</f>
        <v>Oct</v>
      </c>
      <c r="U278" s="2">
        <f>YEAR(SalesData[[#This Row],[Order Date]])</f>
        <v>2017</v>
      </c>
      <c r="V278" s="2" t="str">
        <f>IF(SalesData[[#This Row],[Profit]]&gt;0,"Profit","Loss")</f>
        <v>Profit</v>
      </c>
      <c r="W278" s="2" t="str">
        <f>IF(SalesData[[#This Row],[Profit]]&gt;100,"High Profit",
IF(SalesData[[#This Row],[Profit]]&gt;0,"Low Profit","Loss"))</f>
        <v>Low Profit</v>
      </c>
      <c r="X278" s="2" t="str">
        <f>IF(AND(SalesData[[#This Row],[Sales]]&gt;500,SalesData[[#This Row],[Profit]]&gt;0),"Good Order","Review")</f>
        <v>Review</v>
      </c>
      <c r="Y278" s="2"/>
      <c r="Z278" s="2"/>
      <c r="AA278" s="2"/>
      <c r="AB278" s="2"/>
    </row>
    <row r="279" spans="1:28" x14ac:dyDescent="0.3">
      <c r="A279" s="2">
        <v>278</v>
      </c>
      <c r="B279" s="2" t="s">
        <v>780</v>
      </c>
      <c r="C279" s="5">
        <v>43018</v>
      </c>
      <c r="D279" s="2" t="s">
        <v>44</v>
      </c>
      <c r="E279" s="2" t="s">
        <v>781</v>
      </c>
      <c r="F279" s="2" t="s">
        <v>782</v>
      </c>
      <c r="G279" s="2" t="s">
        <v>36</v>
      </c>
      <c r="H279" s="2" t="s">
        <v>24</v>
      </c>
      <c r="I279" s="2" t="s">
        <v>120</v>
      </c>
      <c r="J279" s="2" t="s">
        <v>121</v>
      </c>
      <c r="K279" s="2">
        <v>19140</v>
      </c>
      <c r="L279" s="2" t="s">
        <v>122</v>
      </c>
      <c r="M279" s="2" t="s">
        <v>784</v>
      </c>
      <c r="N279" s="2" t="s">
        <v>41</v>
      </c>
      <c r="O279" s="2" t="s">
        <v>75</v>
      </c>
      <c r="P279" s="4">
        <v>18.175999999999998</v>
      </c>
      <c r="Q279" s="2">
        <v>4</v>
      </c>
      <c r="R279" s="3">
        <v>0.2</v>
      </c>
      <c r="S279" s="4">
        <v>5.9071999999999996</v>
      </c>
      <c r="T279" s="2" t="str">
        <f>TEXT(SalesData[[#This Row],[Order Date]],"mmm")</f>
        <v>Oct</v>
      </c>
      <c r="U279" s="2">
        <f>YEAR(SalesData[[#This Row],[Order Date]])</f>
        <v>2017</v>
      </c>
      <c r="V279" s="2" t="str">
        <f>IF(SalesData[[#This Row],[Profit]]&gt;0,"Profit","Loss")</f>
        <v>Profit</v>
      </c>
      <c r="W279" s="2" t="str">
        <f>IF(SalesData[[#This Row],[Profit]]&gt;100,"High Profit",
IF(SalesData[[#This Row],[Profit]]&gt;0,"Low Profit","Loss"))</f>
        <v>Low Profit</v>
      </c>
      <c r="X279" s="2" t="str">
        <f>IF(AND(SalesData[[#This Row],[Sales]]&gt;500,SalesData[[#This Row],[Profit]]&gt;0),"Good Order","Review")</f>
        <v>Review</v>
      </c>
      <c r="Y279" s="2"/>
      <c r="Z279" s="2"/>
      <c r="AA279" s="2"/>
      <c r="AB279" s="2"/>
    </row>
    <row r="280" spans="1:28" x14ac:dyDescent="0.3">
      <c r="A280" s="2">
        <v>279</v>
      </c>
      <c r="B280" s="2" t="s">
        <v>780</v>
      </c>
      <c r="C280" s="5">
        <v>43018</v>
      </c>
      <c r="D280" s="2" t="s">
        <v>44</v>
      </c>
      <c r="E280" s="2" t="s">
        <v>781</v>
      </c>
      <c r="F280" s="2" t="s">
        <v>782</v>
      </c>
      <c r="G280" s="2" t="s">
        <v>36</v>
      </c>
      <c r="H280" s="2" t="s">
        <v>24</v>
      </c>
      <c r="I280" s="2" t="s">
        <v>120</v>
      </c>
      <c r="J280" s="2" t="s">
        <v>121</v>
      </c>
      <c r="K280" s="2">
        <v>19140</v>
      </c>
      <c r="L280" s="2" t="s">
        <v>122</v>
      </c>
      <c r="M280" s="2" t="s">
        <v>785</v>
      </c>
      <c r="N280" s="2" t="s">
        <v>41</v>
      </c>
      <c r="O280" s="2" t="s">
        <v>52</v>
      </c>
      <c r="P280" s="4">
        <v>59.712000000000003</v>
      </c>
      <c r="Q280" s="2">
        <v>6</v>
      </c>
      <c r="R280" s="3">
        <v>0.2</v>
      </c>
      <c r="S280" s="4">
        <v>5.9711999999999996</v>
      </c>
      <c r="T280" s="2" t="str">
        <f>TEXT(SalesData[[#This Row],[Order Date]],"mmm")</f>
        <v>Oct</v>
      </c>
      <c r="U280" s="2">
        <f>YEAR(SalesData[[#This Row],[Order Date]])</f>
        <v>2017</v>
      </c>
      <c r="V280" s="2" t="str">
        <f>IF(SalesData[[#This Row],[Profit]]&gt;0,"Profit","Loss")</f>
        <v>Profit</v>
      </c>
      <c r="W280" s="2" t="str">
        <f>IF(SalesData[[#This Row],[Profit]]&gt;100,"High Profit",
IF(SalesData[[#This Row],[Profit]]&gt;0,"Low Profit","Loss"))</f>
        <v>Low Profit</v>
      </c>
      <c r="X280" s="2" t="str">
        <f>IF(AND(SalesData[[#This Row],[Sales]]&gt;500,SalesData[[#This Row],[Profit]]&gt;0),"Good Order","Review")</f>
        <v>Review</v>
      </c>
      <c r="Y280" s="2"/>
      <c r="Z280" s="2"/>
      <c r="AA280" s="2"/>
      <c r="AB280" s="2"/>
    </row>
    <row r="281" spans="1:28" x14ac:dyDescent="0.3">
      <c r="A281" s="2">
        <v>280</v>
      </c>
      <c r="B281" s="2" t="s">
        <v>780</v>
      </c>
      <c r="C281" s="5">
        <v>43018</v>
      </c>
      <c r="D281" s="2" t="s">
        <v>44</v>
      </c>
      <c r="E281" s="2" t="s">
        <v>781</v>
      </c>
      <c r="F281" s="2" t="s">
        <v>782</v>
      </c>
      <c r="G281" s="2" t="s">
        <v>36</v>
      </c>
      <c r="H281" s="2" t="s">
        <v>24</v>
      </c>
      <c r="I281" s="2" t="s">
        <v>120</v>
      </c>
      <c r="J281" s="2" t="s">
        <v>121</v>
      </c>
      <c r="K281" s="2">
        <v>19140</v>
      </c>
      <c r="L281" s="2" t="s">
        <v>122</v>
      </c>
      <c r="M281" s="2" t="s">
        <v>786</v>
      </c>
      <c r="N281" s="2" t="s">
        <v>41</v>
      </c>
      <c r="O281" s="2" t="s">
        <v>42</v>
      </c>
      <c r="P281" s="4">
        <v>24.84</v>
      </c>
      <c r="Q281" s="2">
        <v>3</v>
      </c>
      <c r="R281" s="3">
        <v>0.2</v>
      </c>
      <c r="S281" s="4">
        <v>8.6940000000000008</v>
      </c>
      <c r="T281" s="2" t="str">
        <f>TEXT(SalesData[[#This Row],[Order Date]],"mmm")</f>
        <v>Oct</v>
      </c>
      <c r="U281" s="2">
        <f>YEAR(SalesData[[#This Row],[Order Date]])</f>
        <v>2017</v>
      </c>
      <c r="V281" s="2" t="str">
        <f>IF(SalesData[[#This Row],[Profit]]&gt;0,"Profit","Loss")</f>
        <v>Profit</v>
      </c>
      <c r="W281" s="2" t="str">
        <f>IF(SalesData[[#This Row],[Profit]]&gt;100,"High Profit",
IF(SalesData[[#This Row],[Profit]]&gt;0,"Low Profit","Loss"))</f>
        <v>Low Profit</v>
      </c>
      <c r="X281" s="2" t="str">
        <f>IF(AND(SalesData[[#This Row],[Sales]]&gt;500,SalesData[[#This Row],[Profit]]&gt;0),"Good Order","Review")</f>
        <v>Review</v>
      </c>
      <c r="Y281" s="2"/>
      <c r="Z281" s="2"/>
      <c r="AA281" s="2"/>
      <c r="AB281" s="2"/>
    </row>
    <row r="282" spans="1:28" x14ac:dyDescent="0.3">
      <c r="A282" s="2">
        <v>281</v>
      </c>
      <c r="B282" s="2" t="s">
        <v>787</v>
      </c>
      <c r="C282" s="5">
        <v>42273</v>
      </c>
      <c r="D282" s="2" t="s">
        <v>20</v>
      </c>
      <c r="E282" s="2" t="s">
        <v>400</v>
      </c>
      <c r="F282" s="2" t="s">
        <v>401</v>
      </c>
      <c r="G282" s="2" t="s">
        <v>23</v>
      </c>
      <c r="H282" s="2" t="s">
        <v>24</v>
      </c>
      <c r="I282" s="2" t="s">
        <v>148</v>
      </c>
      <c r="J282" s="2" t="s">
        <v>87</v>
      </c>
      <c r="K282" s="2">
        <v>77070</v>
      </c>
      <c r="L282" s="2" t="s">
        <v>88</v>
      </c>
      <c r="M282" s="2" t="s">
        <v>788</v>
      </c>
      <c r="N282" s="2" t="s">
        <v>41</v>
      </c>
      <c r="O282" s="2" t="s">
        <v>64</v>
      </c>
      <c r="P282" s="4">
        <v>2.08</v>
      </c>
      <c r="Q282" s="2">
        <v>5</v>
      </c>
      <c r="R282" s="3">
        <v>0.8</v>
      </c>
      <c r="S282" s="4">
        <v>-3.4319999999999999</v>
      </c>
      <c r="T282" s="2" t="str">
        <f>TEXT(SalesData[[#This Row],[Order Date]],"mmm")</f>
        <v>Sep</v>
      </c>
      <c r="U282" s="2">
        <f>YEAR(SalesData[[#This Row],[Order Date]])</f>
        <v>2015</v>
      </c>
      <c r="V282" s="2" t="str">
        <f>IF(SalesData[[#This Row],[Profit]]&gt;0,"Profit","Loss")</f>
        <v>Loss</v>
      </c>
      <c r="W282" s="2" t="str">
        <f>IF(SalesData[[#This Row],[Profit]]&gt;100,"High Profit",
IF(SalesData[[#This Row],[Profit]]&gt;0,"Low Profit","Loss"))</f>
        <v>Loss</v>
      </c>
      <c r="X282" s="2" t="str">
        <f>IF(AND(SalesData[[#This Row],[Sales]]&gt;500,SalesData[[#This Row],[Profit]]&gt;0),"Good Order","Review")</f>
        <v>Review</v>
      </c>
      <c r="Y282" s="2"/>
      <c r="Z282" s="2"/>
      <c r="AA282" s="2"/>
      <c r="AB282" s="2"/>
    </row>
    <row r="283" spans="1:28" x14ac:dyDescent="0.3">
      <c r="A283" s="2">
        <v>282</v>
      </c>
      <c r="B283" s="2" t="s">
        <v>787</v>
      </c>
      <c r="C283" s="5">
        <v>42273</v>
      </c>
      <c r="D283" s="2" t="s">
        <v>20</v>
      </c>
      <c r="E283" s="2" t="s">
        <v>400</v>
      </c>
      <c r="F283" s="2" t="s">
        <v>401</v>
      </c>
      <c r="G283" s="2" t="s">
        <v>23</v>
      </c>
      <c r="H283" s="2" t="s">
        <v>24</v>
      </c>
      <c r="I283" s="2" t="s">
        <v>148</v>
      </c>
      <c r="J283" s="2" t="s">
        <v>87</v>
      </c>
      <c r="K283" s="2">
        <v>77070</v>
      </c>
      <c r="L283" s="2" t="s">
        <v>88</v>
      </c>
      <c r="M283" s="2" t="s">
        <v>789</v>
      </c>
      <c r="N283" s="2" t="s">
        <v>61</v>
      </c>
      <c r="O283" s="2" t="s">
        <v>62</v>
      </c>
      <c r="P283" s="4">
        <v>1114.4000000000001</v>
      </c>
      <c r="Q283" s="2">
        <v>7</v>
      </c>
      <c r="R283" s="3">
        <v>0.2</v>
      </c>
      <c r="S283" s="4">
        <v>376.11</v>
      </c>
      <c r="T283" s="2" t="str">
        <f>TEXT(SalesData[[#This Row],[Order Date]],"mmm")</f>
        <v>Sep</v>
      </c>
      <c r="U283" s="2">
        <f>YEAR(SalesData[[#This Row],[Order Date]])</f>
        <v>2015</v>
      </c>
      <c r="V283" s="2" t="str">
        <f>IF(SalesData[[#This Row],[Profit]]&gt;0,"Profit","Loss")</f>
        <v>Profit</v>
      </c>
      <c r="W283" s="2" t="str">
        <f>IF(SalesData[[#This Row],[Profit]]&gt;100,"High Profit",
IF(SalesData[[#This Row],[Profit]]&gt;0,"Low Profit","Loss"))</f>
        <v>High Profit</v>
      </c>
      <c r="X283" s="2" t="str">
        <f>IF(AND(SalesData[[#This Row],[Sales]]&gt;500,SalesData[[#This Row],[Profit]]&gt;0),"Good Order","Review")</f>
        <v>Good Order</v>
      </c>
      <c r="Y283" s="2"/>
      <c r="Z283" s="2"/>
      <c r="AA283" s="2"/>
      <c r="AB283" s="2"/>
    </row>
    <row r="284" spans="1:28" x14ac:dyDescent="0.3">
      <c r="A284" s="2">
        <v>283</v>
      </c>
      <c r="B284" s="2" t="s">
        <v>790</v>
      </c>
      <c r="C284" s="5">
        <v>42046</v>
      </c>
      <c r="D284" s="2" t="s">
        <v>44</v>
      </c>
      <c r="E284" s="2" t="s">
        <v>791</v>
      </c>
      <c r="F284" s="2" t="s">
        <v>792</v>
      </c>
      <c r="G284" s="2" t="s">
        <v>23</v>
      </c>
      <c r="H284" s="2" t="s">
        <v>24</v>
      </c>
      <c r="I284" s="2" t="s">
        <v>37</v>
      </c>
      <c r="J284" s="2" t="s">
        <v>38</v>
      </c>
      <c r="K284" s="2">
        <v>90004</v>
      </c>
      <c r="L284" s="2" t="s">
        <v>39</v>
      </c>
      <c r="M284" s="2" t="s">
        <v>793</v>
      </c>
      <c r="N284" s="2" t="s">
        <v>29</v>
      </c>
      <c r="O284" s="2" t="s">
        <v>50</v>
      </c>
      <c r="P284" s="4">
        <v>1038.8399999999999</v>
      </c>
      <c r="Q284" s="2">
        <v>5</v>
      </c>
      <c r="R284" s="3">
        <v>0.2</v>
      </c>
      <c r="S284" s="4">
        <v>51.942</v>
      </c>
      <c r="T284" s="2" t="str">
        <f>TEXT(SalesData[[#This Row],[Order Date]],"mmm")</f>
        <v>Feb</v>
      </c>
      <c r="U284" s="2">
        <f>YEAR(SalesData[[#This Row],[Order Date]])</f>
        <v>2015</v>
      </c>
      <c r="V284" s="2" t="str">
        <f>IF(SalesData[[#This Row],[Profit]]&gt;0,"Profit","Loss")</f>
        <v>Profit</v>
      </c>
      <c r="W284" s="2" t="str">
        <f>IF(SalesData[[#This Row],[Profit]]&gt;100,"High Profit",
IF(SalesData[[#This Row],[Profit]]&gt;0,"Low Profit","Loss"))</f>
        <v>Low Profit</v>
      </c>
      <c r="X284" s="2" t="str">
        <f>IF(AND(SalesData[[#This Row],[Sales]]&gt;500,SalesData[[#This Row],[Profit]]&gt;0),"Good Order","Review")</f>
        <v>Good Order</v>
      </c>
      <c r="Y284" s="2"/>
      <c r="Z284" s="2"/>
      <c r="AA284" s="2"/>
      <c r="AB284" s="2"/>
    </row>
    <row r="285" spans="1:28" x14ac:dyDescent="0.3">
      <c r="A285" s="2">
        <v>284</v>
      </c>
      <c r="B285" s="2" t="s">
        <v>794</v>
      </c>
      <c r="C285" s="5">
        <v>42273</v>
      </c>
      <c r="D285" s="2" t="s">
        <v>44</v>
      </c>
      <c r="E285" s="2" t="s">
        <v>135</v>
      </c>
      <c r="F285" s="2" t="s">
        <v>136</v>
      </c>
      <c r="G285" s="2" t="s">
        <v>23</v>
      </c>
      <c r="H285" s="2" t="s">
        <v>24</v>
      </c>
      <c r="I285" s="2" t="s">
        <v>324</v>
      </c>
      <c r="J285" s="2" t="s">
        <v>325</v>
      </c>
      <c r="K285" s="2">
        <v>97206</v>
      </c>
      <c r="L285" s="2" t="s">
        <v>39</v>
      </c>
      <c r="M285" s="2" t="s">
        <v>795</v>
      </c>
      <c r="N285" s="2" t="s">
        <v>41</v>
      </c>
      <c r="O285" s="2" t="s">
        <v>75</v>
      </c>
      <c r="P285" s="4">
        <v>141.76</v>
      </c>
      <c r="Q285" s="2">
        <v>5</v>
      </c>
      <c r="R285" s="3">
        <v>0.2</v>
      </c>
      <c r="S285" s="4">
        <v>47.844000000000001</v>
      </c>
      <c r="T285" s="2" t="str">
        <f>TEXT(SalesData[[#This Row],[Order Date]],"mmm")</f>
        <v>Sep</v>
      </c>
      <c r="U285" s="2">
        <f>YEAR(SalesData[[#This Row],[Order Date]])</f>
        <v>2015</v>
      </c>
      <c r="V285" s="2" t="str">
        <f>IF(SalesData[[#This Row],[Profit]]&gt;0,"Profit","Loss")</f>
        <v>Profit</v>
      </c>
      <c r="W285" s="2" t="str">
        <f>IF(SalesData[[#This Row],[Profit]]&gt;100,"High Profit",
IF(SalesData[[#This Row],[Profit]]&gt;0,"Low Profit","Loss"))</f>
        <v>Low Profit</v>
      </c>
      <c r="X285" s="2" t="str">
        <f>IF(AND(SalesData[[#This Row],[Sales]]&gt;500,SalesData[[#This Row],[Profit]]&gt;0),"Good Order","Review")</f>
        <v>Review</v>
      </c>
      <c r="Y285" s="2"/>
      <c r="Z285" s="2"/>
      <c r="AA285" s="2"/>
      <c r="AB285" s="2"/>
    </row>
    <row r="286" spans="1:28" x14ac:dyDescent="0.3">
      <c r="A286" s="2">
        <v>285</v>
      </c>
      <c r="B286" s="2" t="s">
        <v>794</v>
      </c>
      <c r="C286" s="5">
        <v>42273</v>
      </c>
      <c r="D286" s="2" t="s">
        <v>44</v>
      </c>
      <c r="E286" s="2" t="s">
        <v>135</v>
      </c>
      <c r="F286" s="2" t="s">
        <v>136</v>
      </c>
      <c r="G286" s="2" t="s">
        <v>23</v>
      </c>
      <c r="H286" s="2" t="s">
        <v>24</v>
      </c>
      <c r="I286" s="2" t="s">
        <v>324</v>
      </c>
      <c r="J286" s="2" t="s">
        <v>325</v>
      </c>
      <c r="K286" s="2">
        <v>97206</v>
      </c>
      <c r="L286" s="2" t="s">
        <v>39</v>
      </c>
      <c r="M286" s="2" t="s">
        <v>796</v>
      </c>
      <c r="N286" s="2" t="s">
        <v>61</v>
      </c>
      <c r="O286" s="2" t="s">
        <v>133</v>
      </c>
      <c r="P286" s="4">
        <v>239.8</v>
      </c>
      <c r="Q286" s="2">
        <v>5</v>
      </c>
      <c r="R286" s="3">
        <v>0.2</v>
      </c>
      <c r="S286" s="4">
        <v>47.96</v>
      </c>
      <c r="T286" s="2" t="str">
        <f>TEXT(SalesData[[#This Row],[Order Date]],"mmm")</f>
        <v>Sep</v>
      </c>
      <c r="U286" s="2">
        <f>YEAR(SalesData[[#This Row],[Order Date]])</f>
        <v>2015</v>
      </c>
      <c r="V286" s="2" t="str">
        <f>IF(SalesData[[#This Row],[Profit]]&gt;0,"Profit","Loss")</f>
        <v>Profit</v>
      </c>
      <c r="W286" s="2" t="str">
        <f>IF(SalesData[[#This Row],[Profit]]&gt;100,"High Profit",
IF(SalesData[[#This Row],[Profit]]&gt;0,"Low Profit","Loss"))</f>
        <v>Low Profit</v>
      </c>
      <c r="X286" s="2" t="str">
        <f>IF(AND(SalesData[[#This Row],[Sales]]&gt;500,SalesData[[#This Row],[Profit]]&gt;0),"Good Order","Review")</f>
        <v>Review</v>
      </c>
      <c r="Y286" s="2"/>
      <c r="Z286" s="2"/>
      <c r="AA286" s="2"/>
      <c r="AB286" s="2"/>
    </row>
    <row r="287" spans="1:28" x14ac:dyDescent="0.3">
      <c r="A287" s="2">
        <v>286</v>
      </c>
      <c r="B287" s="2" t="s">
        <v>794</v>
      </c>
      <c r="C287" s="5">
        <v>42273</v>
      </c>
      <c r="D287" s="2" t="s">
        <v>44</v>
      </c>
      <c r="E287" s="2" t="s">
        <v>135</v>
      </c>
      <c r="F287" s="2" t="s">
        <v>136</v>
      </c>
      <c r="G287" s="2" t="s">
        <v>23</v>
      </c>
      <c r="H287" s="2" t="s">
        <v>24</v>
      </c>
      <c r="I287" s="2" t="s">
        <v>324</v>
      </c>
      <c r="J287" s="2" t="s">
        <v>325</v>
      </c>
      <c r="K287" s="2">
        <v>97206</v>
      </c>
      <c r="L287" s="2" t="s">
        <v>39</v>
      </c>
      <c r="M287" s="2" t="s">
        <v>797</v>
      </c>
      <c r="N287" s="2" t="s">
        <v>41</v>
      </c>
      <c r="O287" s="2" t="s">
        <v>75</v>
      </c>
      <c r="P287" s="4">
        <v>31.103999999999999</v>
      </c>
      <c r="Q287" s="2">
        <v>6</v>
      </c>
      <c r="R287" s="3">
        <v>0.2</v>
      </c>
      <c r="S287" s="4">
        <v>10.8864</v>
      </c>
      <c r="T287" s="2" t="str">
        <f>TEXT(SalesData[[#This Row],[Order Date]],"mmm")</f>
        <v>Sep</v>
      </c>
      <c r="U287" s="2">
        <f>YEAR(SalesData[[#This Row],[Order Date]])</f>
        <v>2015</v>
      </c>
      <c r="V287" s="2" t="str">
        <f>IF(SalesData[[#This Row],[Profit]]&gt;0,"Profit","Loss")</f>
        <v>Profit</v>
      </c>
      <c r="W287" s="2" t="str">
        <f>IF(SalesData[[#This Row],[Profit]]&gt;100,"High Profit",
IF(SalesData[[#This Row],[Profit]]&gt;0,"Low Profit","Loss"))</f>
        <v>Low Profit</v>
      </c>
      <c r="X287" s="2" t="str">
        <f>IF(AND(SalesData[[#This Row],[Sales]]&gt;500,SalesData[[#This Row],[Profit]]&gt;0),"Good Order","Review")</f>
        <v>Review</v>
      </c>
      <c r="Y287" s="2"/>
      <c r="Z287" s="2"/>
      <c r="AA287" s="2"/>
      <c r="AB287" s="2"/>
    </row>
    <row r="288" spans="1:28" x14ac:dyDescent="0.3">
      <c r="A288" s="2">
        <v>287</v>
      </c>
      <c r="B288" s="2" t="s">
        <v>798</v>
      </c>
      <c r="C288" s="5">
        <v>42722</v>
      </c>
      <c r="D288" s="2" t="s">
        <v>20</v>
      </c>
      <c r="E288" s="2" t="s">
        <v>799</v>
      </c>
      <c r="F288" s="2" t="s">
        <v>800</v>
      </c>
      <c r="G288" s="2" t="s">
        <v>36</v>
      </c>
      <c r="H288" s="2" t="s">
        <v>24</v>
      </c>
      <c r="I288" s="2" t="s">
        <v>801</v>
      </c>
      <c r="J288" s="2" t="s">
        <v>48</v>
      </c>
      <c r="K288" s="2">
        <v>33319</v>
      </c>
      <c r="L288" s="2" t="s">
        <v>27</v>
      </c>
      <c r="M288" s="2" t="s">
        <v>802</v>
      </c>
      <c r="N288" s="2" t="s">
        <v>41</v>
      </c>
      <c r="O288" s="2" t="s">
        <v>64</v>
      </c>
      <c r="P288" s="4">
        <v>254.05799999999999</v>
      </c>
      <c r="Q288" s="2">
        <v>7</v>
      </c>
      <c r="R288" s="3">
        <v>0.7</v>
      </c>
      <c r="S288" s="4">
        <v>-169.37200000000001</v>
      </c>
      <c r="T288" s="2" t="str">
        <f>TEXT(SalesData[[#This Row],[Order Date]],"mmm")</f>
        <v>Dec</v>
      </c>
      <c r="U288" s="2">
        <f>YEAR(SalesData[[#This Row],[Order Date]])</f>
        <v>2016</v>
      </c>
      <c r="V288" s="2" t="str">
        <f>IF(SalesData[[#This Row],[Profit]]&gt;0,"Profit","Loss")</f>
        <v>Loss</v>
      </c>
      <c r="W288" s="2" t="str">
        <f>IF(SalesData[[#This Row],[Profit]]&gt;100,"High Profit",
IF(SalesData[[#This Row],[Profit]]&gt;0,"Low Profit","Loss"))</f>
        <v>Loss</v>
      </c>
      <c r="X288" s="2" t="str">
        <f>IF(AND(SalesData[[#This Row],[Sales]]&gt;500,SalesData[[#This Row],[Profit]]&gt;0),"Good Order","Review")</f>
        <v>Review</v>
      </c>
      <c r="Y288" s="2"/>
      <c r="Z288" s="2"/>
      <c r="AA288" s="2"/>
      <c r="AB288" s="2"/>
    </row>
    <row r="289" spans="1:28" x14ac:dyDescent="0.3">
      <c r="A289" s="2">
        <v>288</v>
      </c>
      <c r="B289" s="2" t="s">
        <v>798</v>
      </c>
      <c r="C289" s="5">
        <v>42722</v>
      </c>
      <c r="D289" s="2" t="s">
        <v>20</v>
      </c>
      <c r="E289" s="2" t="s">
        <v>799</v>
      </c>
      <c r="F289" s="2" t="s">
        <v>800</v>
      </c>
      <c r="G289" s="2" t="s">
        <v>36</v>
      </c>
      <c r="H289" s="2" t="s">
        <v>24</v>
      </c>
      <c r="I289" s="2" t="s">
        <v>801</v>
      </c>
      <c r="J289" s="2" t="s">
        <v>48</v>
      </c>
      <c r="K289" s="2">
        <v>33319</v>
      </c>
      <c r="L289" s="2" t="s">
        <v>27</v>
      </c>
      <c r="M289" s="2" t="s">
        <v>545</v>
      </c>
      <c r="N289" s="2" t="s">
        <v>41</v>
      </c>
      <c r="O289" s="2" t="s">
        <v>66</v>
      </c>
      <c r="P289" s="4">
        <v>194.52799999999999</v>
      </c>
      <c r="Q289" s="2">
        <v>2</v>
      </c>
      <c r="R289" s="3">
        <v>0.2</v>
      </c>
      <c r="S289" s="4">
        <v>24.315999999999999</v>
      </c>
      <c r="T289" s="2" t="str">
        <f>TEXT(SalesData[[#This Row],[Order Date]],"mmm")</f>
        <v>Dec</v>
      </c>
      <c r="U289" s="2">
        <f>YEAR(SalesData[[#This Row],[Order Date]])</f>
        <v>2016</v>
      </c>
      <c r="V289" s="2" t="str">
        <f>IF(SalesData[[#This Row],[Profit]]&gt;0,"Profit","Loss")</f>
        <v>Profit</v>
      </c>
      <c r="W289" s="2" t="str">
        <f>IF(SalesData[[#This Row],[Profit]]&gt;100,"High Profit",
IF(SalesData[[#This Row],[Profit]]&gt;0,"Low Profit","Loss"))</f>
        <v>Low Profit</v>
      </c>
      <c r="X289" s="2" t="str">
        <f>IF(AND(SalesData[[#This Row],[Sales]]&gt;500,SalesData[[#This Row],[Profit]]&gt;0),"Good Order","Review")</f>
        <v>Review</v>
      </c>
      <c r="Y289" s="2"/>
      <c r="Z289" s="2"/>
      <c r="AA289" s="2"/>
      <c r="AB289" s="2"/>
    </row>
    <row r="290" spans="1:28" x14ac:dyDescent="0.3">
      <c r="A290" s="2">
        <v>289</v>
      </c>
      <c r="B290" s="2" t="s">
        <v>798</v>
      </c>
      <c r="C290" s="5">
        <v>42722</v>
      </c>
      <c r="D290" s="2" t="s">
        <v>20</v>
      </c>
      <c r="E290" s="2" t="s">
        <v>799</v>
      </c>
      <c r="F290" s="2" t="s">
        <v>800</v>
      </c>
      <c r="G290" s="2" t="s">
        <v>36</v>
      </c>
      <c r="H290" s="2" t="s">
        <v>24</v>
      </c>
      <c r="I290" s="2" t="s">
        <v>801</v>
      </c>
      <c r="J290" s="2" t="s">
        <v>48</v>
      </c>
      <c r="K290" s="2">
        <v>33319</v>
      </c>
      <c r="L290" s="2" t="s">
        <v>27</v>
      </c>
      <c r="M290" s="2" t="s">
        <v>803</v>
      </c>
      <c r="N290" s="2" t="s">
        <v>41</v>
      </c>
      <c r="O290" s="2" t="s">
        <v>442</v>
      </c>
      <c r="P290" s="4">
        <v>961.48</v>
      </c>
      <c r="Q290" s="2">
        <v>5</v>
      </c>
      <c r="R290" s="3">
        <v>0.2</v>
      </c>
      <c r="S290" s="4">
        <v>-204.31450000000001</v>
      </c>
      <c r="T290" s="2" t="str">
        <f>TEXT(SalesData[[#This Row],[Order Date]],"mmm")</f>
        <v>Dec</v>
      </c>
      <c r="U290" s="2">
        <f>YEAR(SalesData[[#This Row],[Order Date]])</f>
        <v>2016</v>
      </c>
      <c r="V290" s="2" t="str">
        <f>IF(SalesData[[#This Row],[Profit]]&gt;0,"Profit","Loss")</f>
        <v>Loss</v>
      </c>
      <c r="W290" s="2" t="str">
        <f>IF(SalesData[[#This Row],[Profit]]&gt;100,"High Profit",
IF(SalesData[[#This Row],[Profit]]&gt;0,"Low Profit","Loss"))</f>
        <v>Loss</v>
      </c>
      <c r="X290" s="2" t="str">
        <f>IF(AND(SalesData[[#This Row],[Sales]]&gt;500,SalesData[[#This Row],[Profit]]&gt;0),"Good Order","Review")</f>
        <v>Review</v>
      </c>
      <c r="Y290" s="2"/>
      <c r="Z290" s="2"/>
      <c r="AA290" s="2"/>
      <c r="AB290" s="2"/>
    </row>
    <row r="291" spans="1:28" x14ac:dyDescent="0.3">
      <c r="A291" s="2">
        <v>290</v>
      </c>
      <c r="B291" s="2" t="s">
        <v>804</v>
      </c>
      <c r="C291" s="5">
        <v>42694</v>
      </c>
      <c r="D291" s="2" t="s">
        <v>20</v>
      </c>
      <c r="E291" s="2" t="s">
        <v>805</v>
      </c>
      <c r="F291" s="2" t="s">
        <v>806</v>
      </c>
      <c r="G291" s="2" t="s">
        <v>85</v>
      </c>
      <c r="H291" s="2" t="s">
        <v>24</v>
      </c>
      <c r="I291" s="2" t="s">
        <v>384</v>
      </c>
      <c r="J291" s="2" t="s">
        <v>385</v>
      </c>
      <c r="K291" s="2">
        <v>43229</v>
      </c>
      <c r="L291" s="2" t="s">
        <v>122</v>
      </c>
      <c r="M291" s="2" t="s">
        <v>807</v>
      </c>
      <c r="N291" s="2" t="s">
        <v>41</v>
      </c>
      <c r="O291" s="2" t="s">
        <v>214</v>
      </c>
      <c r="P291" s="4">
        <v>19.096</v>
      </c>
      <c r="Q291" s="2">
        <v>7</v>
      </c>
      <c r="R291" s="3">
        <v>0.2</v>
      </c>
      <c r="S291" s="4">
        <v>6.6836000000000002</v>
      </c>
      <c r="T291" s="2" t="str">
        <f>TEXT(SalesData[[#This Row],[Order Date]],"mmm")</f>
        <v>Nov</v>
      </c>
      <c r="U291" s="2">
        <f>YEAR(SalesData[[#This Row],[Order Date]])</f>
        <v>2016</v>
      </c>
      <c r="V291" s="2" t="str">
        <f>IF(SalesData[[#This Row],[Profit]]&gt;0,"Profit","Loss")</f>
        <v>Profit</v>
      </c>
      <c r="W291" s="2" t="str">
        <f>IF(SalesData[[#This Row],[Profit]]&gt;100,"High Profit",
IF(SalesData[[#This Row],[Profit]]&gt;0,"Low Profit","Loss"))</f>
        <v>Low Profit</v>
      </c>
      <c r="X291" s="2" t="str">
        <f>IF(AND(SalesData[[#This Row],[Sales]]&gt;500,SalesData[[#This Row],[Profit]]&gt;0),"Good Order","Review")</f>
        <v>Review</v>
      </c>
      <c r="Y291" s="2"/>
      <c r="Z291" s="2"/>
      <c r="AA291" s="2"/>
      <c r="AB291" s="2"/>
    </row>
    <row r="292" spans="1:28" x14ac:dyDescent="0.3">
      <c r="A292" s="2">
        <v>291</v>
      </c>
      <c r="B292" s="2" t="s">
        <v>804</v>
      </c>
      <c r="C292" s="5">
        <v>42694</v>
      </c>
      <c r="D292" s="2" t="s">
        <v>20</v>
      </c>
      <c r="E292" s="2" t="s">
        <v>805</v>
      </c>
      <c r="F292" s="2" t="s">
        <v>806</v>
      </c>
      <c r="G292" s="2" t="s">
        <v>85</v>
      </c>
      <c r="H292" s="2" t="s">
        <v>24</v>
      </c>
      <c r="I292" s="2" t="s">
        <v>384</v>
      </c>
      <c r="J292" s="2" t="s">
        <v>385</v>
      </c>
      <c r="K292" s="2">
        <v>43229</v>
      </c>
      <c r="L292" s="2" t="s">
        <v>122</v>
      </c>
      <c r="M292" s="2" t="s">
        <v>808</v>
      </c>
      <c r="N292" s="2" t="s">
        <v>41</v>
      </c>
      <c r="O292" s="2" t="s">
        <v>42</v>
      </c>
      <c r="P292" s="4">
        <v>18.495999999999999</v>
      </c>
      <c r="Q292" s="2">
        <v>8</v>
      </c>
      <c r="R292" s="3">
        <v>0.2</v>
      </c>
      <c r="S292" s="4">
        <v>6.2423999999999999</v>
      </c>
      <c r="T292" s="2" t="str">
        <f>TEXT(SalesData[[#This Row],[Order Date]],"mmm")</f>
        <v>Nov</v>
      </c>
      <c r="U292" s="2">
        <f>YEAR(SalesData[[#This Row],[Order Date]])</f>
        <v>2016</v>
      </c>
      <c r="V292" s="2" t="str">
        <f>IF(SalesData[[#This Row],[Profit]]&gt;0,"Profit","Loss")</f>
        <v>Profit</v>
      </c>
      <c r="W292" s="2" t="str">
        <f>IF(SalesData[[#This Row],[Profit]]&gt;100,"High Profit",
IF(SalesData[[#This Row],[Profit]]&gt;0,"Low Profit","Loss"))</f>
        <v>Low Profit</v>
      </c>
      <c r="X292" s="2" t="str">
        <f>IF(AND(SalesData[[#This Row],[Sales]]&gt;500,SalesData[[#This Row],[Profit]]&gt;0),"Good Order","Review")</f>
        <v>Review</v>
      </c>
      <c r="Y292" s="2"/>
      <c r="Z292" s="2"/>
      <c r="AA292" s="2"/>
      <c r="AB292" s="2"/>
    </row>
    <row r="293" spans="1:28" x14ac:dyDescent="0.3">
      <c r="A293" s="2">
        <v>292</v>
      </c>
      <c r="B293" s="2" t="s">
        <v>804</v>
      </c>
      <c r="C293" s="5">
        <v>42694</v>
      </c>
      <c r="D293" s="2" t="s">
        <v>20</v>
      </c>
      <c r="E293" s="2" t="s">
        <v>805</v>
      </c>
      <c r="F293" s="2" t="s">
        <v>806</v>
      </c>
      <c r="G293" s="2" t="s">
        <v>85</v>
      </c>
      <c r="H293" s="2" t="s">
        <v>24</v>
      </c>
      <c r="I293" s="2" t="s">
        <v>384</v>
      </c>
      <c r="J293" s="2" t="s">
        <v>385</v>
      </c>
      <c r="K293" s="2">
        <v>43229</v>
      </c>
      <c r="L293" s="2" t="s">
        <v>122</v>
      </c>
      <c r="M293" s="2" t="s">
        <v>809</v>
      </c>
      <c r="N293" s="2" t="s">
        <v>61</v>
      </c>
      <c r="O293" s="2" t="s">
        <v>133</v>
      </c>
      <c r="P293" s="4">
        <v>255.98400000000001</v>
      </c>
      <c r="Q293" s="2">
        <v>2</v>
      </c>
      <c r="R293" s="3">
        <v>0.2</v>
      </c>
      <c r="S293" s="4">
        <v>54.396599999999999</v>
      </c>
      <c r="T293" s="2" t="str">
        <f>TEXT(SalesData[[#This Row],[Order Date]],"mmm")</f>
        <v>Nov</v>
      </c>
      <c r="U293" s="2">
        <f>YEAR(SalesData[[#This Row],[Order Date]])</f>
        <v>2016</v>
      </c>
      <c r="V293" s="2" t="str">
        <f>IF(SalesData[[#This Row],[Profit]]&gt;0,"Profit","Loss")</f>
        <v>Profit</v>
      </c>
      <c r="W293" s="2" t="str">
        <f>IF(SalesData[[#This Row],[Profit]]&gt;100,"High Profit",
IF(SalesData[[#This Row],[Profit]]&gt;0,"Low Profit","Loss"))</f>
        <v>Low Profit</v>
      </c>
      <c r="X293" s="2" t="str">
        <f>IF(AND(SalesData[[#This Row],[Sales]]&gt;500,SalesData[[#This Row],[Profit]]&gt;0),"Good Order","Review")</f>
        <v>Review</v>
      </c>
      <c r="Y293" s="2"/>
      <c r="Z293" s="2"/>
      <c r="AA293" s="2"/>
      <c r="AB293" s="2"/>
    </row>
    <row r="294" spans="1:28" x14ac:dyDescent="0.3">
      <c r="A294" s="2">
        <v>293</v>
      </c>
      <c r="B294" s="2" t="s">
        <v>804</v>
      </c>
      <c r="C294" s="5">
        <v>42694</v>
      </c>
      <c r="D294" s="2" t="s">
        <v>20</v>
      </c>
      <c r="E294" s="2" t="s">
        <v>805</v>
      </c>
      <c r="F294" s="2" t="s">
        <v>806</v>
      </c>
      <c r="G294" s="2" t="s">
        <v>85</v>
      </c>
      <c r="H294" s="2" t="s">
        <v>24</v>
      </c>
      <c r="I294" s="2" t="s">
        <v>384</v>
      </c>
      <c r="J294" s="2" t="s">
        <v>385</v>
      </c>
      <c r="K294" s="2">
        <v>43229</v>
      </c>
      <c r="L294" s="2" t="s">
        <v>122</v>
      </c>
      <c r="M294" s="2" t="s">
        <v>810</v>
      </c>
      <c r="N294" s="2" t="s">
        <v>29</v>
      </c>
      <c r="O294" s="2" t="s">
        <v>30</v>
      </c>
      <c r="P294" s="4">
        <v>86.97</v>
      </c>
      <c r="Q294" s="2">
        <v>3</v>
      </c>
      <c r="R294" s="3">
        <v>0.5</v>
      </c>
      <c r="S294" s="4">
        <v>-48.703200000000002</v>
      </c>
      <c r="T294" s="2" t="str">
        <f>TEXT(SalesData[[#This Row],[Order Date]],"mmm")</f>
        <v>Nov</v>
      </c>
      <c r="U294" s="2">
        <f>YEAR(SalesData[[#This Row],[Order Date]])</f>
        <v>2016</v>
      </c>
      <c r="V294" s="2" t="str">
        <f>IF(SalesData[[#This Row],[Profit]]&gt;0,"Profit","Loss")</f>
        <v>Loss</v>
      </c>
      <c r="W294" s="2" t="str">
        <f>IF(SalesData[[#This Row],[Profit]]&gt;100,"High Profit",
IF(SalesData[[#This Row],[Profit]]&gt;0,"Low Profit","Loss"))</f>
        <v>Loss</v>
      </c>
      <c r="X294" s="2" t="str">
        <f>IF(AND(SalesData[[#This Row],[Sales]]&gt;500,SalesData[[#This Row],[Profit]]&gt;0),"Good Order","Review")</f>
        <v>Review</v>
      </c>
      <c r="Y294" s="2"/>
      <c r="Z294" s="2"/>
      <c r="AA294" s="2"/>
      <c r="AB294" s="2"/>
    </row>
    <row r="295" spans="1:28" x14ac:dyDescent="0.3">
      <c r="A295" s="2">
        <v>294</v>
      </c>
      <c r="B295" s="2" t="s">
        <v>811</v>
      </c>
      <c r="C295" s="5">
        <v>41999</v>
      </c>
      <c r="D295" s="2" t="s">
        <v>151</v>
      </c>
      <c r="E295" s="2" t="s">
        <v>812</v>
      </c>
      <c r="F295" s="2" t="s">
        <v>813</v>
      </c>
      <c r="G295" s="2" t="s">
        <v>36</v>
      </c>
      <c r="H295" s="2" t="s">
        <v>24</v>
      </c>
      <c r="I295" s="2" t="s">
        <v>814</v>
      </c>
      <c r="J295" s="2" t="s">
        <v>354</v>
      </c>
      <c r="K295" s="2">
        <v>80906</v>
      </c>
      <c r="L295" s="2" t="s">
        <v>39</v>
      </c>
      <c r="M295" s="2" t="s">
        <v>815</v>
      </c>
      <c r="N295" s="2" t="s">
        <v>29</v>
      </c>
      <c r="O295" s="2" t="s">
        <v>57</v>
      </c>
      <c r="P295" s="4">
        <v>300.416</v>
      </c>
      <c r="Q295" s="2">
        <v>8</v>
      </c>
      <c r="R295" s="3">
        <v>0.2</v>
      </c>
      <c r="S295" s="4">
        <v>78.859200000000001</v>
      </c>
      <c r="T295" s="2" t="str">
        <f>TEXT(SalesData[[#This Row],[Order Date]],"mmm")</f>
        <v>Dec</v>
      </c>
      <c r="U295" s="2">
        <f>YEAR(SalesData[[#This Row],[Order Date]])</f>
        <v>2014</v>
      </c>
      <c r="V295" s="2" t="str">
        <f>IF(SalesData[[#This Row],[Profit]]&gt;0,"Profit","Loss")</f>
        <v>Profit</v>
      </c>
      <c r="W295" s="2" t="str">
        <f>IF(SalesData[[#This Row],[Profit]]&gt;100,"High Profit",
IF(SalesData[[#This Row],[Profit]]&gt;0,"Low Profit","Loss"))</f>
        <v>Low Profit</v>
      </c>
      <c r="X295" s="2" t="str">
        <f>IF(AND(SalesData[[#This Row],[Sales]]&gt;500,SalesData[[#This Row],[Profit]]&gt;0),"Good Order","Review")</f>
        <v>Review</v>
      </c>
      <c r="Y295" s="2"/>
      <c r="Z295" s="2"/>
      <c r="AA295" s="2"/>
      <c r="AB295" s="2"/>
    </row>
    <row r="296" spans="1:28" x14ac:dyDescent="0.3">
      <c r="A296" s="2">
        <v>295</v>
      </c>
      <c r="B296" s="2" t="s">
        <v>811</v>
      </c>
      <c r="C296" s="5">
        <v>41999</v>
      </c>
      <c r="D296" s="2" t="s">
        <v>151</v>
      </c>
      <c r="E296" s="2" t="s">
        <v>812</v>
      </c>
      <c r="F296" s="2" t="s">
        <v>813</v>
      </c>
      <c r="G296" s="2" t="s">
        <v>36</v>
      </c>
      <c r="H296" s="2" t="s">
        <v>24</v>
      </c>
      <c r="I296" s="2" t="s">
        <v>814</v>
      </c>
      <c r="J296" s="2" t="s">
        <v>354</v>
      </c>
      <c r="K296" s="2">
        <v>80906</v>
      </c>
      <c r="L296" s="2" t="s">
        <v>39</v>
      </c>
      <c r="M296" s="2" t="s">
        <v>816</v>
      </c>
      <c r="N296" s="2" t="s">
        <v>29</v>
      </c>
      <c r="O296" s="2" t="s">
        <v>32</v>
      </c>
      <c r="P296" s="4">
        <v>230.352</v>
      </c>
      <c r="Q296" s="2">
        <v>3</v>
      </c>
      <c r="R296" s="3">
        <v>0.2</v>
      </c>
      <c r="S296" s="4">
        <v>20.155799999999999</v>
      </c>
      <c r="T296" s="2" t="str">
        <f>TEXT(SalesData[[#This Row],[Order Date]],"mmm")</f>
        <v>Dec</v>
      </c>
      <c r="U296" s="2">
        <f>YEAR(SalesData[[#This Row],[Order Date]])</f>
        <v>2014</v>
      </c>
      <c r="V296" s="2" t="str">
        <f>IF(SalesData[[#This Row],[Profit]]&gt;0,"Profit","Loss")</f>
        <v>Profit</v>
      </c>
      <c r="W296" s="2" t="str">
        <f>IF(SalesData[[#This Row],[Profit]]&gt;100,"High Profit",
IF(SalesData[[#This Row],[Profit]]&gt;0,"Low Profit","Loss"))</f>
        <v>Low Profit</v>
      </c>
      <c r="X296" s="2" t="str">
        <f>IF(AND(SalesData[[#This Row],[Sales]]&gt;500,SalesData[[#This Row],[Profit]]&gt;0),"Good Order","Review")</f>
        <v>Review</v>
      </c>
      <c r="Y296" s="2"/>
      <c r="Z296" s="2"/>
      <c r="AA296" s="2"/>
      <c r="AB296" s="2"/>
    </row>
    <row r="297" spans="1:28" x14ac:dyDescent="0.3">
      <c r="A297" s="2">
        <v>296</v>
      </c>
      <c r="B297" s="2" t="s">
        <v>811</v>
      </c>
      <c r="C297" s="5">
        <v>41999</v>
      </c>
      <c r="D297" s="2" t="s">
        <v>151</v>
      </c>
      <c r="E297" s="2" t="s">
        <v>812</v>
      </c>
      <c r="F297" s="2" t="s">
        <v>813</v>
      </c>
      <c r="G297" s="2" t="s">
        <v>36</v>
      </c>
      <c r="H297" s="2" t="s">
        <v>24</v>
      </c>
      <c r="I297" s="2" t="s">
        <v>814</v>
      </c>
      <c r="J297" s="2" t="s">
        <v>354</v>
      </c>
      <c r="K297" s="2">
        <v>80906</v>
      </c>
      <c r="L297" s="2" t="s">
        <v>39</v>
      </c>
      <c r="M297" s="2" t="s">
        <v>817</v>
      </c>
      <c r="N297" s="2" t="s">
        <v>29</v>
      </c>
      <c r="O297" s="2" t="s">
        <v>57</v>
      </c>
      <c r="P297" s="4">
        <v>218.352</v>
      </c>
      <c r="Q297" s="2">
        <v>3</v>
      </c>
      <c r="R297" s="3">
        <v>0.2</v>
      </c>
      <c r="S297" s="4">
        <v>-24.564599999999999</v>
      </c>
      <c r="T297" s="2" t="str">
        <f>TEXT(SalesData[[#This Row],[Order Date]],"mmm")</f>
        <v>Dec</v>
      </c>
      <c r="U297" s="2">
        <f>YEAR(SalesData[[#This Row],[Order Date]])</f>
        <v>2014</v>
      </c>
      <c r="V297" s="2" t="str">
        <f>IF(SalesData[[#This Row],[Profit]]&gt;0,"Profit","Loss")</f>
        <v>Loss</v>
      </c>
      <c r="W297" s="2" t="str">
        <f>IF(SalesData[[#This Row],[Profit]]&gt;100,"High Profit",
IF(SalesData[[#This Row],[Profit]]&gt;0,"Low Profit","Loss"))</f>
        <v>Loss</v>
      </c>
      <c r="X297" s="2" t="str">
        <f>IF(AND(SalesData[[#This Row],[Sales]]&gt;500,SalesData[[#This Row],[Profit]]&gt;0),"Good Order","Review")</f>
        <v>Review</v>
      </c>
      <c r="Y297" s="2"/>
      <c r="Z297" s="2"/>
      <c r="AA297" s="2"/>
      <c r="AB297" s="2"/>
    </row>
    <row r="298" spans="1:28" x14ac:dyDescent="0.3">
      <c r="A298" s="2">
        <v>297</v>
      </c>
      <c r="B298" s="2" t="s">
        <v>811</v>
      </c>
      <c r="C298" s="5">
        <v>41999</v>
      </c>
      <c r="D298" s="2" t="s">
        <v>151</v>
      </c>
      <c r="E298" s="2" t="s">
        <v>812</v>
      </c>
      <c r="F298" s="2" t="s">
        <v>813</v>
      </c>
      <c r="G298" s="2" t="s">
        <v>36</v>
      </c>
      <c r="H298" s="2" t="s">
        <v>24</v>
      </c>
      <c r="I298" s="2" t="s">
        <v>814</v>
      </c>
      <c r="J298" s="2" t="s">
        <v>354</v>
      </c>
      <c r="K298" s="2">
        <v>80906</v>
      </c>
      <c r="L298" s="2" t="s">
        <v>39</v>
      </c>
      <c r="M298" s="2" t="s">
        <v>818</v>
      </c>
      <c r="N298" s="2" t="s">
        <v>41</v>
      </c>
      <c r="O298" s="2" t="s">
        <v>64</v>
      </c>
      <c r="P298" s="4">
        <v>78.599999999999994</v>
      </c>
      <c r="Q298" s="2">
        <v>5</v>
      </c>
      <c r="R298" s="3">
        <v>0.7</v>
      </c>
      <c r="S298" s="4">
        <v>-62.88</v>
      </c>
      <c r="T298" s="2" t="str">
        <f>TEXT(SalesData[[#This Row],[Order Date]],"mmm")</f>
        <v>Dec</v>
      </c>
      <c r="U298" s="2">
        <f>YEAR(SalesData[[#This Row],[Order Date]])</f>
        <v>2014</v>
      </c>
      <c r="V298" s="2" t="str">
        <f>IF(SalesData[[#This Row],[Profit]]&gt;0,"Profit","Loss")</f>
        <v>Loss</v>
      </c>
      <c r="W298" s="2" t="str">
        <f>IF(SalesData[[#This Row],[Profit]]&gt;100,"High Profit",
IF(SalesData[[#This Row],[Profit]]&gt;0,"Low Profit","Loss"))</f>
        <v>Loss</v>
      </c>
      <c r="X298" s="2" t="str">
        <f>IF(AND(SalesData[[#This Row],[Sales]]&gt;500,SalesData[[#This Row],[Profit]]&gt;0),"Good Order","Review")</f>
        <v>Review</v>
      </c>
      <c r="Y298" s="2"/>
      <c r="Z298" s="2"/>
      <c r="AA298" s="2"/>
      <c r="AB298" s="2"/>
    </row>
    <row r="299" spans="1:28" x14ac:dyDescent="0.3">
      <c r="A299" s="2">
        <v>298</v>
      </c>
      <c r="B299" s="2" t="s">
        <v>811</v>
      </c>
      <c r="C299" s="5">
        <v>41999</v>
      </c>
      <c r="D299" s="2" t="s">
        <v>151</v>
      </c>
      <c r="E299" s="2" t="s">
        <v>812</v>
      </c>
      <c r="F299" s="2" t="s">
        <v>813</v>
      </c>
      <c r="G299" s="2" t="s">
        <v>36</v>
      </c>
      <c r="H299" s="2" t="s">
        <v>24</v>
      </c>
      <c r="I299" s="2" t="s">
        <v>814</v>
      </c>
      <c r="J299" s="2" t="s">
        <v>354</v>
      </c>
      <c r="K299" s="2">
        <v>80906</v>
      </c>
      <c r="L299" s="2" t="s">
        <v>39</v>
      </c>
      <c r="M299" s="2" t="s">
        <v>819</v>
      </c>
      <c r="N299" s="2" t="s">
        <v>41</v>
      </c>
      <c r="O299" s="2" t="s">
        <v>214</v>
      </c>
      <c r="P299" s="4">
        <v>27.552</v>
      </c>
      <c r="Q299" s="2">
        <v>3</v>
      </c>
      <c r="R299" s="3">
        <v>0.2</v>
      </c>
      <c r="S299" s="4">
        <v>9.2988</v>
      </c>
      <c r="T299" s="2" t="str">
        <f>TEXT(SalesData[[#This Row],[Order Date]],"mmm")</f>
        <v>Dec</v>
      </c>
      <c r="U299" s="2">
        <f>YEAR(SalesData[[#This Row],[Order Date]])</f>
        <v>2014</v>
      </c>
      <c r="V299" s="2" t="str">
        <f>IF(SalesData[[#This Row],[Profit]]&gt;0,"Profit","Loss")</f>
        <v>Profit</v>
      </c>
      <c r="W299" s="2" t="str">
        <f>IF(SalesData[[#This Row],[Profit]]&gt;100,"High Profit",
IF(SalesData[[#This Row],[Profit]]&gt;0,"Low Profit","Loss"))</f>
        <v>Low Profit</v>
      </c>
      <c r="X299" s="2" t="str">
        <f>IF(AND(SalesData[[#This Row],[Sales]]&gt;500,SalesData[[#This Row],[Profit]]&gt;0),"Good Order","Review")</f>
        <v>Review</v>
      </c>
      <c r="Y299" s="2"/>
      <c r="Z299" s="2"/>
      <c r="AA299" s="2"/>
      <c r="AB299" s="2"/>
    </row>
    <row r="300" spans="1:28" x14ac:dyDescent="0.3">
      <c r="A300" s="2">
        <v>299</v>
      </c>
      <c r="B300" s="2" t="s">
        <v>820</v>
      </c>
      <c r="C300" s="5">
        <v>42671</v>
      </c>
      <c r="D300" s="2" t="s">
        <v>44</v>
      </c>
      <c r="E300" s="2" t="s">
        <v>444</v>
      </c>
      <c r="F300" s="2" t="s">
        <v>445</v>
      </c>
      <c r="G300" s="2" t="s">
        <v>36</v>
      </c>
      <c r="H300" s="2" t="s">
        <v>24</v>
      </c>
      <c r="I300" s="2" t="s">
        <v>821</v>
      </c>
      <c r="J300" s="2" t="s">
        <v>602</v>
      </c>
      <c r="K300" s="2">
        <v>7109</v>
      </c>
      <c r="L300" s="2" t="s">
        <v>122</v>
      </c>
      <c r="M300" s="2" t="s">
        <v>822</v>
      </c>
      <c r="N300" s="2" t="s">
        <v>41</v>
      </c>
      <c r="O300" s="2" t="s">
        <v>75</v>
      </c>
      <c r="P300" s="4">
        <v>32.4</v>
      </c>
      <c r="Q300" s="2">
        <v>5</v>
      </c>
      <c r="R300" s="3">
        <v>0</v>
      </c>
      <c r="S300" s="4">
        <v>15.552</v>
      </c>
      <c r="T300" s="2" t="str">
        <f>TEXT(SalesData[[#This Row],[Order Date]],"mmm")</f>
        <v>Oct</v>
      </c>
      <c r="U300" s="2">
        <f>YEAR(SalesData[[#This Row],[Order Date]])</f>
        <v>2016</v>
      </c>
      <c r="V300" s="2" t="str">
        <f>IF(SalesData[[#This Row],[Profit]]&gt;0,"Profit","Loss")</f>
        <v>Profit</v>
      </c>
      <c r="W300" s="2" t="str">
        <f>IF(SalesData[[#This Row],[Profit]]&gt;100,"High Profit",
IF(SalesData[[#This Row],[Profit]]&gt;0,"Low Profit","Loss"))</f>
        <v>Low Profit</v>
      </c>
      <c r="X300" s="2" t="str">
        <f>IF(AND(SalesData[[#This Row],[Sales]]&gt;500,SalesData[[#This Row],[Profit]]&gt;0),"Good Order","Review")</f>
        <v>Review</v>
      </c>
      <c r="Y300" s="2"/>
      <c r="Z300" s="2"/>
      <c r="AA300" s="2"/>
      <c r="AB300" s="2"/>
    </row>
    <row r="301" spans="1:28" x14ac:dyDescent="0.3">
      <c r="A301" s="2">
        <v>300</v>
      </c>
      <c r="B301" s="2" t="s">
        <v>820</v>
      </c>
      <c r="C301" s="5">
        <v>42671</v>
      </c>
      <c r="D301" s="2" t="s">
        <v>44</v>
      </c>
      <c r="E301" s="2" t="s">
        <v>444</v>
      </c>
      <c r="F301" s="2" t="s">
        <v>445</v>
      </c>
      <c r="G301" s="2" t="s">
        <v>36</v>
      </c>
      <c r="H301" s="2" t="s">
        <v>24</v>
      </c>
      <c r="I301" s="2" t="s">
        <v>821</v>
      </c>
      <c r="J301" s="2" t="s">
        <v>602</v>
      </c>
      <c r="K301" s="2">
        <v>7109</v>
      </c>
      <c r="L301" s="2" t="s">
        <v>122</v>
      </c>
      <c r="M301" s="2" t="s">
        <v>823</v>
      </c>
      <c r="N301" s="2" t="s">
        <v>41</v>
      </c>
      <c r="O301" s="2" t="s">
        <v>52</v>
      </c>
      <c r="P301" s="4">
        <v>1082.48</v>
      </c>
      <c r="Q301" s="2">
        <v>8</v>
      </c>
      <c r="R301" s="3">
        <v>0</v>
      </c>
      <c r="S301" s="4">
        <v>10.8248</v>
      </c>
      <c r="T301" s="2" t="str">
        <f>TEXT(SalesData[[#This Row],[Order Date]],"mmm")</f>
        <v>Oct</v>
      </c>
      <c r="U301" s="2">
        <f>YEAR(SalesData[[#This Row],[Order Date]])</f>
        <v>2016</v>
      </c>
      <c r="V301" s="2" t="str">
        <f>IF(SalesData[[#This Row],[Profit]]&gt;0,"Profit","Loss")</f>
        <v>Profit</v>
      </c>
      <c r="W301" s="2" t="str">
        <f>IF(SalesData[[#This Row],[Profit]]&gt;100,"High Profit",
IF(SalesData[[#This Row],[Profit]]&gt;0,"Low Profit","Loss"))</f>
        <v>Low Profit</v>
      </c>
      <c r="X301" s="2" t="str">
        <f>IF(AND(SalesData[[#This Row],[Sales]]&gt;500,SalesData[[#This Row],[Profit]]&gt;0),"Good Order","Review")</f>
        <v>Good Order</v>
      </c>
      <c r="Y301" s="2"/>
      <c r="Z301" s="2"/>
      <c r="AA301" s="2"/>
      <c r="AB301" s="2"/>
    </row>
    <row r="302" spans="1:28" x14ac:dyDescent="0.3">
      <c r="D302" s="1"/>
    </row>
    <row r="303" spans="1:28" x14ac:dyDescent="0.3">
      <c r="D303" s="1"/>
    </row>
    <row r="304" spans="1:28" x14ac:dyDescent="0.3">
      <c r="D304" s="1"/>
    </row>
    <row r="306" spans="3:4" x14ac:dyDescent="0.3">
      <c r="C306" s="1"/>
      <c r="D306" s="1"/>
    </row>
    <row r="307" spans="3:4" x14ac:dyDescent="0.3">
      <c r="D307" s="1"/>
    </row>
    <row r="308" spans="3:4" x14ac:dyDescent="0.3">
      <c r="C308" s="1"/>
      <c r="D308" s="1"/>
    </row>
    <row r="309" spans="3:4" x14ac:dyDescent="0.3">
      <c r="C309" s="1"/>
      <c r="D309" s="1"/>
    </row>
    <row r="311" spans="3:4" x14ac:dyDescent="0.3">
      <c r="C311" s="1"/>
    </row>
    <row r="312" spans="3:4" x14ac:dyDescent="0.3">
      <c r="C312" s="1"/>
    </row>
    <row r="313" spans="3:4" x14ac:dyDescent="0.3">
      <c r="C313" s="1"/>
    </row>
    <row r="314" spans="3:4" x14ac:dyDescent="0.3">
      <c r="C314" s="1"/>
    </row>
    <row r="315" spans="3:4" x14ac:dyDescent="0.3">
      <c r="D315" s="1"/>
    </row>
    <row r="316" spans="3:4" x14ac:dyDescent="0.3">
      <c r="C316" s="1"/>
    </row>
    <row r="317" spans="3:4" x14ac:dyDescent="0.3">
      <c r="C317" s="1"/>
    </row>
    <row r="319" spans="3:4" x14ac:dyDescent="0.3">
      <c r="C319" s="1"/>
      <c r="D319" s="1"/>
    </row>
    <row r="320" spans="3:4" x14ac:dyDescent="0.3">
      <c r="C320" s="1"/>
      <c r="D320" s="1"/>
    </row>
    <row r="321" spans="3:4" x14ac:dyDescent="0.3">
      <c r="C321" s="1"/>
      <c r="D321" s="1"/>
    </row>
    <row r="322" spans="3:4" x14ac:dyDescent="0.3">
      <c r="C322" s="1"/>
      <c r="D322" s="1"/>
    </row>
    <row r="323" spans="3:4" x14ac:dyDescent="0.3">
      <c r="C323" s="1"/>
      <c r="D323" s="1"/>
    </row>
    <row r="327" spans="3:4" x14ac:dyDescent="0.3">
      <c r="C327" s="1"/>
      <c r="D327" s="1"/>
    </row>
    <row r="328" spans="3:4" x14ac:dyDescent="0.3">
      <c r="D328" s="1"/>
    </row>
    <row r="329" spans="3:4" x14ac:dyDescent="0.3">
      <c r="D329" s="1"/>
    </row>
    <row r="330" spans="3:4" x14ac:dyDescent="0.3">
      <c r="D330" s="1"/>
    </row>
    <row r="331" spans="3:4" x14ac:dyDescent="0.3">
      <c r="D331" s="1"/>
    </row>
    <row r="332" spans="3:4" x14ac:dyDescent="0.3">
      <c r="D332" s="1"/>
    </row>
    <row r="336" spans="3:4" x14ac:dyDescent="0.3">
      <c r="C336" s="1"/>
      <c r="D336" s="1"/>
    </row>
    <row r="337" spans="3:4" x14ac:dyDescent="0.3">
      <c r="C337" s="1"/>
      <c r="D337" s="1"/>
    </row>
    <row r="338" spans="3:4" x14ac:dyDescent="0.3">
      <c r="C338" s="1"/>
      <c r="D338" s="1"/>
    </row>
    <row r="339" spans="3:4" x14ac:dyDescent="0.3">
      <c r="C339" s="1"/>
    </row>
    <row r="340" spans="3:4" x14ac:dyDescent="0.3">
      <c r="C340" s="1"/>
    </row>
    <row r="348" spans="3:4" x14ac:dyDescent="0.3">
      <c r="C348" s="1"/>
      <c r="D348" s="1"/>
    </row>
    <row r="349" spans="3:4" x14ac:dyDescent="0.3">
      <c r="C349" s="1"/>
      <c r="D349" s="1"/>
    </row>
    <row r="350" spans="3:4" x14ac:dyDescent="0.3">
      <c r="C350" s="1"/>
      <c r="D350" s="1"/>
    </row>
    <row r="351" spans="3:4" x14ac:dyDescent="0.3">
      <c r="C351" s="1"/>
      <c r="D351" s="1"/>
    </row>
    <row r="352" spans="3:4" x14ac:dyDescent="0.3">
      <c r="C352" s="1"/>
      <c r="D352" s="1"/>
    </row>
    <row r="353" spans="3:4" x14ac:dyDescent="0.3">
      <c r="C353" s="1"/>
      <c r="D353" s="1"/>
    </row>
    <row r="354" spans="3:4" x14ac:dyDescent="0.3">
      <c r="C354" s="1"/>
      <c r="D354" s="1"/>
    </row>
    <row r="355" spans="3:4" x14ac:dyDescent="0.3">
      <c r="C355" s="1"/>
      <c r="D355" s="1"/>
    </row>
    <row r="356" spans="3:4" x14ac:dyDescent="0.3">
      <c r="C356" s="1"/>
    </row>
    <row r="357" spans="3:4" x14ac:dyDescent="0.3">
      <c r="C357" s="1"/>
    </row>
    <row r="358" spans="3:4" x14ac:dyDescent="0.3">
      <c r="C358" s="1"/>
    </row>
    <row r="359" spans="3:4" x14ac:dyDescent="0.3">
      <c r="C359" s="1"/>
    </row>
    <row r="361" spans="3:4" x14ac:dyDescent="0.3">
      <c r="C361" s="1"/>
      <c r="D361" s="1"/>
    </row>
    <row r="362" spans="3:4" x14ac:dyDescent="0.3">
      <c r="C362" s="1"/>
      <c r="D362" s="1"/>
    </row>
    <row r="363" spans="3:4" x14ac:dyDescent="0.3">
      <c r="D363" s="1"/>
    </row>
    <row r="364" spans="3:4" x14ac:dyDescent="0.3">
      <c r="D364" s="1"/>
    </row>
    <row r="365" spans="3:4" x14ac:dyDescent="0.3">
      <c r="D365" s="1"/>
    </row>
    <row r="366" spans="3:4" x14ac:dyDescent="0.3">
      <c r="D366" s="1"/>
    </row>
    <row r="372" spans="4:4" x14ac:dyDescent="0.3">
      <c r="D372" s="1"/>
    </row>
    <row r="373" spans="4:4" x14ac:dyDescent="0.3">
      <c r="D373" s="1"/>
    </row>
    <row r="378" spans="4:4" x14ac:dyDescent="0.3">
      <c r="D378" s="1"/>
    </row>
    <row r="379" spans="4:4" x14ac:dyDescent="0.3">
      <c r="D379" s="1"/>
    </row>
    <row r="380" spans="4:4" x14ac:dyDescent="0.3">
      <c r="D380" s="1"/>
    </row>
    <row r="381" spans="4:4" x14ac:dyDescent="0.3">
      <c r="D381" s="1"/>
    </row>
    <row r="382" spans="4:4" x14ac:dyDescent="0.3">
      <c r="D382" s="1"/>
    </row>
    <row r="386" spans="3:4" x14ac:dyDescent="0.3">
      <c r="D386" s="1"/>
    </row>
    <row r="387" spans="3:4" x14ac:dyDescent="0.3">
      <c r="D387" s="1"/>
    </row>
    <row r="388" spans="3:4" x14ac:dyDescent="0.3">
      <c r="C388" s="1"/>
      <c r="D388" s="1"/>
    </row>
    <row r="389" spans="3:4" x14ac:dyDescent="0.3">
      <c r="C389" s="1"/>
      <c r="D389" s="1"/>
    </row>
    <row r="391" spans="3:4" x14ac:dyDescent="0.3">
      <c r="C391" s="1"/>
    </row>
    <row r="392" spans="3:4" x14ac:dyDescent="0.3">
      <c r="C392" s="1"/>
    </row>
    <row r="395" spans="3:4" x14ac:dyDescent="0.3">
      <c r="C395" s="1"/>
      <c r="D395" s="1"/>
    </row>
    <row r="396" spans="3:4" x14ac:dyDescent="0.3">
      <c r="D396" s="1"/>
    </row>
    <row r="399" spans="3:4" x14ac:dyDescent="0.3">
      <c r="D399" s="1"/>
    </row>
    <row r="400" spans="3:4" x14ac:dyDescent="0.3">
      <c r="C400" s="1"/>
      <c r="D400" s="1"/>
    </row>
    <row r="401" spans="3:4" x14ac:dyDescent="0.3">
      <c r="C401" s="1"/>
      <c r="D401" s="1"/>
    </row>
    <row r="402" spans="3:4" x14ac:dyDescent="0.3">
      <c r="C402" s="1"/>
      <c r="D402" s="1"/>
    </row>
    <row r="403" spans="3:4" x14ac:dyDescent="0.3">
      <c r="C403" s="1"/>
      <c r="D403" s="1"/>
    </row>
    <row r="407" spans="3:4" x14ac:dyDescent="0.3">
      <c r="C407" s="1"/>
      <c r="D407" s="1"/>
    </row>
    <row r="408" spans="3:4" x14ac:dyDescent="0.3">
      <c r="C408" s="1"/>
      <c r="D408" s="1"/>
    </row>
    <row r="409" spans="3:4" x14ac:dyDescent="0.3">
      <c r="C409" s="1"/>
      <c r="D409" s="1"/>
    </row>
    <row r="410" spans="3:4" x14ac:dyDescent="0.3">
      <c r="C410" s="1"/>
      <c r="D410" s="1"/>
    </row>
    <row r="411" spans="3:4" x14ac:dyDescent="0.3">
      <c r="C411" s="1"/>
      <c r="D411" s="1"/>
    </row>
    <row r="412" spans="3:4" x14ac:dyDescent="0.3">
      <c r="C412" s="1"/>
      <c r="D412" s="1"/>
    </row>
    <row r="413" spans="3:4" x14ac:dyDescent="0.3">
      <c r="C413" s="1"/>
      <c r="D413" s="1"/>
    </row>
    <row r="414" spans="3:4" x14ac:dyDescent="0.3">
      <c r="C414" s="1"/>
      <c r="D414" s="1"/>
    </row>
    <row r="415" spans="3:4" x14ac:dyDescent="0.3">
      <c r="C415" s="1"/>
      <c r="D415" s="1"/>
    </row>
    <row r="416" spans="3:4" x14ac:dyDescent="0.3">
      <c r="C416" s="1"/>
      <c r="D416" s="1"/>
    </row>
    <row r="417" spans="3:4" x14ac:dyDescent="0.3">
      <c r="C417" s="1"/>
      <c r="D417" s="1"/>
    </row>
    <row r="420" spans="3:4" x14ac:dyDescent="0.3">
      <c r="C420" s="1"/>
      <c r="D420" s="1"/>
    </row>
    <row r="421" spans="3:4" x14ac:dyDescent="0.3">
      <c r="C421" s="1"/>
      <c r="D421" s="1"/>
    </row>
    <row r="422" spans="3:4" x14ac:dyDescent="0.3">
      <c r="C422" s="1"/>
      <c r="D422" s="1"/>
    </row>
    <row r="429" spans="3:4" x14ac:dyDescent="0.3">
      <c r="C429" s="1"/>
    </row>
    <row r="430" spans="3:4" x14ac:dyDescent="0.3">
      <c r="C430" s="1"/>
      <c r="D430" s="1"/>
    </row>
    <row r="435" spans="3:4" x14ac:dyDescent="0.3">
      <c r="C435" s="1"/>
      <c r="D435" s="1"/>
    </row>
    <row r="438" spans="3:4" x14ac:dyDescent="0.3">
      <c r="C438" s="1"/>
    </row>
    <row r="439" spans="3:4" x14ac:dyDescent="0.3">
      <c r="C439" s="1"/>
    </row>
    <row r="442" spans="3:4" x14ac:dyDescent="0.3">
      <c r="C442" s="1"/>
      <c r="D442" s="1"/>
    </row>
    <row r="443" spans="3:4" x14ac:dyDescent="0.3">
      <c r="C443" s="1"/>
      <c r="D443" s="1"/>
    </row>
    <row r="444" spans="3:4" x14ac:dyDescent="0.3">
      <c r="C444" s="1"/>
      <c r="D444" s="1"/>
    </row>
    <row r="445" spans="3:4" x14ac:dyDescent="0.3">
      <c r="C445" s="1"/>
      <c r="D445" s="1"/>
    </row>
    <row r="446" spans="3:4" x14ac:dyDescent="0.3">
      <c r="C446" s="1"/>
      <c r="D446" s="1"/>
    </row>
    <row r="447" spans="3:4" x14ac:dyDescent="0.3">
      <c r="C447" s="1"/>
      <c r="D447" s="1"/>
    </row>
    <row r="449" spans="3:4" x14ac:dyDescent="0.3">
      <c r="C449" s="1"/>
      <c r="D449" s="1"/>
    </row>
    <row r="450" spans="3:4" x14ac:dyDescent="0.3">
      <c r="C450" s="1"/>
      <c r="D450" s="1"/>
    </row>
    <row r="451" spans="3:4" x14ac:dyDescent="0.3">
      <c r="C451" s="1"/>
      <c r="D451" s="1"/>
    </row>
    <row r="452" spans="3:4" x14ac:dyDescent="0.3">
      <c r="C452" s="1"/>
      <c r="D452" s="1"/>
    </row>
    <row r="453" spans="3:4" x14ac:dyDescent="0.3">
      <c r="C453" s="1"/>
      <c r="D453" s="1"/>
    </row>
    <row r="454" spans="3:4" x14ac:dyDescent="0.3">
      <c r="C454" s="1"/>
      <c r="D454" s="1"/>
    </row>
    <row r="458" spans="3:4" x14ac:dyDescent="0.3">
      <c r="C458" s="1"/>
    </row>
    <row r="459" spans="3:4" x14ac:dyDescent="0.3">
      <c r="D459" s="1"/>
    </row>
    <row r="460" spans="3:4" x14ac:dyDescent="0.3">
      <c r="D460" s="1"/>
    </row>
    <row r="470" spans="3:4" x14ac:dyDescent="0.3">
      <c r="D470" s="1"/>
    </row>
    <row r="473" spans="3:4" x14ac:dyDescent="0.3">
      <c r="C473" s="1"/>
      <c r="D473" s="1"/>
    </row>
    <row r="474" spans="3:4" x14ac:dyDescent="0.3">
      <c r="C474" s="1"/>
      <c r="D474" s="1"/>
    </row>
    <row r="475" spans="3:4" x14ac:dyDescent="0.3">
      <c r="C475" s="1"/>
      <c r="D475" s="1"/>
    </row>
    <row r="476" spans="3:4" x14ac:dyDescent="0.3">
      <c r="C476" s="1"/>
      <c r="D476" s="1"/>
    </row>
    <row r="477" spans="3:4" x14ac:dyDescent="0.3">
      <c r="C477" s="1"/>
      <c r="D477" s="1"/>
    </row>
    <row r="478" spans="3:4" x14ac:dyDescent="0.3">
      <c r="C478" s="1"/>
      <c r="D478" s="1"/>
    </row>
    <row r="479" spans="3:4" x14ac:dyDescent="0.3">
      <c r="C479" s="1"/>
    </row>
    <row r="480" spans="3:4" x14ac:dyDescent="0.3">
      <c r="D480" s="1"/>
    </row>
    <row r="481" spans="3:4" x14ac:dyDescent="0.3">
      <c r="D481" s="1"/>
    </row>
    <row r="482" spans="3:4" x14ac:dyDescent="0.3">
      <c r="D482" s="1"/>
    </row>
    <row r="483" spans="3:4" x14ac:dyDescent="0.3">
      <c r="C483" s="1"/>
      <c r="D483" s="1"/>
    </row>
    <row r="486" spans="3:4" x14ac:dyDescent="0.3">
      <c r="C486" s="1"/>
    </row>
    <row r="487" spans="3:4" x14ac:dyDescent="0.3">
      <c r="C487" s="1"/>
    </row>
    <row r="488" spans="3:4" x14ac:dyDescent="0.3">
      <c r="C488" s="1"/>
    </row>
    <row r="490" spans="3:4" x14ac:dyDescent="0.3">
      <c r="C490" s="1"/>
    </row>
    <row r="491" spans="3:4" x14ac:dyDescent="0.3">
      <c r="C491" s="1"/>
    </row>
    <row r="492" spans="3:4" x14ac:dyDescent="0.3">
      <c r="C492" s="1"/>
    </row>
    <row r="495" spans="3:4" x14ac:dyDescent="0.3">
      <c r="C495" s="1"/>
    </row>
    <row r="502" spans="3:4" x14ac:dyDescent="0.3">
      <c r="D502" s="1"/>
    </row>
    <row r="503" spans="3:4" x14ac:dyDescent="0.3">
      <c r="D503" s="1"/>
    </row>
    <row r="504" spans="3:4" x14ac:dyDescent="0.3">
      <c r="D504" s="1"/>
    </row>
    <row r="505" spans="3:4" x14ac:dyDescent="0.3">
      <c r="D505" s="1"/>
    </row>
    <row r="506" spans="3:4" x14ac:dyDescent="0.3">
      <c r="D506" s="1"/>
    </row>
    <row r="507" spans="3:4" x14ac:dyDescent="0.3">
      <c r="C507" s="1"/>
    </row>
    <row r="527" spans="4:4" x14ac:dyDescent="0.3">
      <c r="D527" s="1"/>
    </row>
    <row r="530" spans="3:4" x14ac:dyDescent="0.3">
      <c r="C530" s="1"/>
      <c r="D530" s="1"/>
    </row>
    <row r="531" spans="3:4" x14ac:dyDescent="0.3">
      <c r="C531" s="1"/>
      <c r="D531" s="1"/>
    </row>
    <row r="532" spans="3:4" x14ac:dyDescent="0.3">
      <c r="C532" s="1"/>
      <c r="D532" s="1"/>
    </row>
    <row r="533" spans="3:4" x14ac:dyDescent="0.3">
      <c r="C533" s="1"/>
      <c r="D533" s="1"/>
    </row>
    <row r="534" spans="3:4" x14ac:dyDescent="0.3">
      <c r="C534" s="1"/>
      <c r="D534" s="1"/>
    </row>
    <row r="535" spans="3:4" x14ac:dyDescent="0.3">
      <c r="D535" s="1"/>
    </row>
    <row r="536" spans="3:4" x14ac:dyDescent="0.3">
      <c r="D536" s="1"/>
    </row>
    <row r="537" spans="3:4" x14ac:dyDescent="0.3">
      <c r="C537" s="1"/>
    </row>
    <row r="538" spans="3:4" x14ac:dyDescent="0.3">
      <c r="C538" s="1"/>
      <c r="D538" s="1"/>
    </row>
    <row r="539" spans="3:4" x14ac:dyDescent="0.3">
      <c r="C539" s="1"/>
      <c r="D539" s="1"/>
    </row>
    <row r="540" spans="3:4" x14ac:dyDescent="0.3">
      <c r="C540" s="1"/>
      <c r="D540" s="1"/>
    </row>
    <row r="541" spans="3:4" x14ac:dyDescent="0.3">
      <c r="C541" s="1"/>
      <c r="D541" s="1"/>
    </row>
    <row r="542" spans="3:4" x14ac:dyDescent="0.3">
      <c r="C542" s="1"/>
      <c r="D542" s="1"/>
    </row>
    <row r="545" spans="3:4" x14ac:dyDescent="0.3">
      <c r="C545" s="1"/>
    </row>
    <row r="546" spans="3:4" x14ac:dyDescent="0.3">
      <c r="C546" s="1"/>
    </row>
    <row r="547" spans="3:4" x14ac:dyDescent="0.3">
      <c r="C547" s="1"/>
    </row>
    <row r="554" spans="3:4" x14ac:dyDescent="0.3">
      <c r="C554" s="1"/>
      <c r="D554" s="1"/>
    </row>
    <row r="556" spans="3:4" x14ac:dyDescent="0.3">
      <c r="D556" s="1"/>
    </row>
    <row r="557" spans="3:4" x14ac:dyDescent="0.3">
      <c r="C557" s="1"/>
      <c r="D557" s="1"/>
    </row>
    <row r="558" spans="3:4" x14ac:dyDescent="0.3">
      <c r="C558" s="1"/>
    </row>
    <row r="559" spans="3:4" x14ac:dyDescent="0.3">
      <c r="C559" s="1"/>
    </row>
    <row r="560" spans="3:4" x14ac:dyDescent="0.3">
      <c r="C560" s="1"/>
    </row>
    <row r="565" spans="3:4" x14ac:dyDescent="0.3">
      <c r="C565" s="1"/>
      <c r="D565" s="1"/>
    </row>
    <row r="566" spans="3:4" x14ac:dyDescent="0.3">
      <c r="C566" s="1"/>
      <c r="D566" s="1"/>
    </row>
    <row r="567" spans="3:4" x14ac:dyDescent="0.3">
      <c r="C567" s="1"/>
      <c r="D567" s="1"/>
    </row>
    <row r="568" spans="3:4" x14ac:dyDescent="0.3">
      <c r="C568" s="1"/>
      <c r="D568" s="1"/>
    </row>
    <row r="569" spans="3:4" x14ac:dyDescent="0.3">
      <c r="C569" s="1"/>
      <c r="D569" s="1"/>
    </row>
    <row r="570" spans="3:4" x14ac:dyDescent="0.3">
      <c r="C570" s="1"/>
      <c r="D570" s="1"/>
    </row>
    <row r="571" spans="3:4" x14ac:dyDescent="0.3">
      <c r="C571" s="1"/>
      <c r="D571" s="1"/>
    </row>
    <row r="572" spans="3:4" x14ac:dyDescent="0.3">
      <c r="D572" s="1"/>
    </row>
    <row r="573" spans="3:4" x14ac:dyDescent="0.3">
      <c r="D573" s="1"/>
    </row>
    <row r="574" spans="3:4" x14ac:dyDescent="0.3">
      <c r="D574" s="1"/>
    </row>
    <row r="575" spans="3:4" x14ac:dyDescent="0.3">
      <c r="D575" s="1"/>
    </row>
    <row r="576" spans="3:4" x14ac:dyDescent="0.3">
      <c r="C576" s="1"/>
      <c r="D576" s="1"/>
    </row>
    <row r="582" spans="3:4" x14ac:dyDescent="0.3">
      <c r="C582" s="1"/>
    </row>
    <row r="583" spans="3:4" x14ac:dyDescent="0.3">
      <c r="C583" s="1"/>
      <c r="D583" s="1"/>
    </row>
    <row r="584" spans="3:4" x14ac:dyDescent="0.3">
      <c r="C584" s="1"/>
      <c r="D584" s="1"/>
    </row>
    <row r="585" spans="3:4" x14ac:dyDescent="0.3">
      <c r="C585" s="1"/>
      <c r="D585" s="1"/>
    </row>
    <row r="586" spans="3:4" x14ac:dyDescent="0.3">
      <c r="C586" s="1"/>
      <c r="D586" s="1"/>
    </row>
    <row r="587" spans="3:4" x14ac:dyDescent="0.3">
      <c r="C587" s="1"/>
      <c r="D587" s="1"/>
    </row>
    <row r="588" spans="3:4" x14ac:dyDescent="0.3">
      <c r="C588" s="1"/>
      <c r="D588" s="1"/>
    </row>
    <row r="589" spans="3:4" x14ac:dyDescent="0.3">
      <c r="C589" s="1"/>
      <c r="D589"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12" spans="3:4" x14ac:dyDescent="0.3">
      <c r="D612" s="1"/>
    </row>
    <row r="613" spans="3:4" x14ac:dyDescent="0.3">
      <c r="D613" s="1"/>
    </row>
    <row r="614" spans="3:4" x14ac:dyDescent="0.3">
      <c r="C614" s="1"/>
    </row>
    <row r="615" spans="3:4" x14ac:dyDescent="0.3">
      <c r="C615" s="1"/>
    </row>
    <row r="624" spans="3:4" x14ac:dyDescent="0.3">
      <c r="D624" s="1"/>
    </row>
    <row r="625" spans="3:4" x14ac:dyDescent="0.3">
      <c r="D625" s="1"/>
    </row>
    <row r="626" spans="3:4" x14ac:dyDescent="0.3">
      <c r="D626" s="1"/>
    </row>
    <row r="627" spans="3:4" x14ac:dyDescent="0.3">
      <c r="D627" s="1"/>
    </row>
    <row r="632" spans="3:4" x14ac:dyDescent="0.3">
      <c r="C632" s="1"/>
    </row>
    <row r="633" spans="3:4" x14ac:dyDescent="0.3">
      <c r="C633" s="1"/>
    </row>
    <row r="634" spans="3:4" x14ac:dyDescent="0.3">
      <c r="C634" s="1"/>
    </row>
    <row r="637" spans="3:4" x14ac:dyDescent="0.3">
      <c r="C637" s="1"/>
      <c r="D637" s="1"/>
    </row>
    <row r="643" spans="3:4" x14ac:dyDescent="0.3">
      <c r="D643" s="1"/>
    </row>
    <row r="644" spans="3:4" x14ac:dyDescent="0.3">
      <c r="D644" s="1"/>
    </row>
    <row r="645" spans="3:4" x14ac:dyDescent="0.3">
      <c r="C645" s="1"/>
    </row>
    <row r="647" spans="3:4" x14ac:dyDescent="0.3">
      <c r="D647" s="1"/>
    </row>
    <row r="648" spans="3:4" x14ac:dyDescent="0.3">
      <c r="C648" s="1"/>
      <c r="D648" s="1"/>
    </row>
    <row r="649" spans="3:4" x14ac:dyDescent="0.3">
      <c r="C649" s="1"/>
      <c r="D649" s="1"/>
    </row>
    <row r="650" spans="3:4" x14ac:dyDescent="0.3">
      <c r="C650" s="1"/>
    </row>
    <row r="651" spans="3:4" x14ac:dyDescent="0.3">
      <c r="C651" s="1"/>
    </row>
    <row r="652" spans="3:4" x14ac:dyDescent="0.3">
      <c r="C652" s="1"/>
    </row>
    <row r="666" spans="3:4" x14ac:dyDescent="0.3">
      <c r="C666" s="1"/>
      <c r="D666" s="1"/>
    </row>
    <row r="667" spans="3:4" x14ac:dyDescent="0.3">
      <c r="C667" s="1"/>
      <c r="D667" s="1"/>
    </row>
    <row r="668" spans="3:4" x14ac:dyDescent="0.3">
      <c r="C668" s="1"/>
      <c r="D668" s="1"/>
    </row>
    <row r="669" spans="3:4" x14ac:dyDescent="0.3">
      <c r="C669" s="1"/>
      <c r="D669" s="1"/>
    </row>
    <row r="671" spans="3:4" x14ac:dyDescent="0.3">
      <c r="C671" s="1"/>
    </row>
    <row r="672" spans="3:4" x14ac:dyDescent="0.3">
      <c r="C672" s="1"/>
    </row>
    <row r="673" spans="3:4" x14ac:dyDescent="0.3">
      <c r="C673" s="1"/>
    </row>
    <row r="675" spans="3:4" x14ac:dyDescent="0.3">
      <c r="C675" s="1"/>
      <c r="D675" s="1"/>
    </row>
    <row r="676" spans="3:4" x14ac:dyDescent="0.3">
      <c r="C676" s="1"/>
      <c r="D676" s="1"/>
    </row>
    <row r="677" spans="3:4" x14ac:dyDescent="0.3">
      <c r="C677" s="1"/>
      <c r="D677" s="1"/>
    </row>
    <row r="685" spans="3:4" x14ac:dyDescent="0.3">
      <c r="C685" s="1"/>
      <c r="D685" s="1"/>
    </row>
    <row r="686" spans="3:4" x14ac:dyDescent="0.3">
      <c r="C686" s="1"/>
      <c r="D686" s="1"/>
    </row>
    <row r="687" spans="3:4" x14ac:dyDescent="0.3">
      <c r="C687" s="1"/>
      <c r="D687" s="1"/>
    </row>
    <row r="688" spans="3:4" x14ac:dyDescent="0.3">
      <c r="C688" s="1"/>
      <c r="D688" s="1"/>
    </row>
    <row r="689" spans="3:4" x14ac:dyDescent="0.3">
      <c r="C689" s="1"/>
      <c r="D689" s="1"/>
    </row>
    <row r="694" spans="3:4" x14ac:dyDescent="0.3">
      <c r="D694" s="1"/>
    </row>
    <row r="695" spans="3:4" x14ac:dyDescent="0.3">
      <c r="D695" s="1"/>
    </row>
    <row r="703" spans="3:4" x14ac:dyDescent="0.3">
      <c r="C703" s="1"/>
      <c r="D703" s="1"/>
    </row>
    <row r="704" spans="3:4" x14ac:dyDescent="0.3">
      <c r="C704" s="1"/>
      <c r="D704" s="1"/>
    </row>
    <row r="705" spans="3:4" x14ac:dyDescent="0.3">
      <c r="C705" s="1"/>
    </row>
    <row r="706" spans="3:4" x14ac:dyDescent="0.3">
      <c r="C706" s="1"/>
    </row>
    <row r="707" spans="3:4" x14ac:dyDescent="0.3">
      <c r="C707" s="1"/>
    </row>
    <row r="708" spans="3:4" x14ac:dyDescent="0.3">
      <c r="C708" s="1"/>
    </row>
    <row r="709" spans="3:4" x14ac:dyDescent="0.3">
      <c r="C709" s="1"/>
      <c r="D709" s="1"/>
    </row>
    <row r="710" spans="3:4" x14ac:dyDescent="0.3">
      <c r="C710" s="1"/>
      <c r="D710" s="1"/>
    </row>
    <row r="711" spans="3:4" x14ac:dyDescent="0.3">
      <c r="C711" s="1"/>
      <c r="D711" s="1"/>
    </row>
    <row r="712" spans="3:4" x14ac:dyDescent="0.3">
      <c r="C712" s="1"/>
      <c r="D712" s="1"/>
    </row>
    <row r="713" spans="3:4" x14ac:dyDescent="0.3">
      <c r="C713" s="1"/>
      <c r="D713" s="1"/>
    </row>
    <row r="717" spans="3:4" x14ac:dyDescent="0.3">
      <c r="C717" s="1"/>
      <c r="D717" s="1"/>
    </row>
    <row r="718" spans="3:4" x14ac:dyDescent="0.3">
      <c r="C718" s="1"/>
    </row>
    <row r="720" spans="3:4" x14ac:dyDescent="0.3">
      <c r="C720" s="1"/>
      <c r="D720" s="1"/>
    </row>
    <row r="721" spans="3:4" x14ac:dyDescent="0.3">
      <c r="C721" s="1"/>
      <c r="D721" s="1"/>
    </row>
    <row r="725" spans="3:4" x14ac:dyDescent="0.3">
      <c r="C725" s="1"/>
    </row>
    <row r="726" spans="3:4" x14ac:dyDescent="0.3">
      <c r="C726" s="1"/>
      <c r="D726" s="1"/>
    </row>
    <row r="729" spans="3:4" x14ac:dyDescent="0.3">
      <c r="C729" s="1"/>
      <c r="D729" s="1"/>
    </row>
    <row r="730" spans="3:4" x14ac:dyDescent="0.3">
      <c r="C730" s="1"/>
      <c r="D730" s="1"/>
    </row>
    <row r="731" spans="3:4" x14ac:dyDescent="0.3">
      <c r="C731" s="1"/>
      <c r="D731" s="1"/>
    </row>
    <row r="732" spans="3:4" x14ac:dyDescent="0.3">
      <c r="C732" s="1"/>
      <c r="D732" s="1"/>
    </row>
    <row r="733" spans="3:4" x14ac:dyDescent="0.3">
      <c r="C733" s="1"/>
      <c r="D733" s="1"/>
    </row>
    <row r="740" spans="3:4" x14ac:dyDescent="0.3">
      <c r="C740" s="1"/>
      <c r="D740" s="1"/>
    </row>
    <row r="741" spans="3:4" x14ac:dyDescent="0.3">
      <c r="C741" s="1"/>
      <c r="D741" s="1"/>
    </row>
    <row r="742" spans="3:4" x14ac:dyDescent="0.3">
      <c r="C742" s="1"/>
      <c r="D742" s="1"/>
    </row>
    <row r="743" spans="3:4" x14ac:dyDescent="0.3">
      <c r="C743" s="1"/>
      <c r="D743" s="1"/>
    </row>
    <row r="744" spans="3:4" x14ac:dyDescent="0.3">
      <c r="D744" s="1"/>
    </row>
    <row r="745" spans="3:4" x14ac:dyDescent="0.3">
      <c r="D745" s="1"/>
    </row>
    <row r="746" spans="3:4" x14ac:dyDescent="0.3">
      <c r="D746" s="1"/>
    </row>
    <row r="747" spans="3:4" x14ac:dyDescent="0.3">
      <c r="D747" s="1"/>
    </row>
    <row r="751" spans="3:4" x14ac:dyDescent="0.3">
      <c r="C751" s="1"/>
      <c r="D751" s="1"/>
    </row>
    <row r="752" spans="3:4" x14ac:dyDescent="0.3">
      <c r="C752" s="1"/>
      <c r="D752" s="1"/>
    </row>
    <row r="753" spans="3:4" x14ac:dyDescent="0.3">
      <c r="C753" s="1"/>
      <c r="D753" s="1"/>
    </row>
    <row r="754" spans="3:4" x14ac:dyDescent="0.3">
      <c r="C754" s="1"/>
      <c r="D754" s="1"/>
    </row>
    <row r="755" spans="3:4" x14ac:dyDescent="0.3">
      <c r="C755" s="1"/>
      <c r="D755" s="1"/>
    </row>
    <row r="756" spans="3:4" x14ac:dyDescent="0.3">
      <c r="C756" s="1"/>
      <c r="D756" s="1"/>
    </row>
    <row r="758" spans="3:4" x14ac:dyDescent="0.3">
      <c r="D758" s="1"/>
    </row>
    <row r="759" spans="3:4" x14ac:dyDescent="0.3">
      <c r="D759" s="1"/>
    </row>
    <row r="762" spans="3:4" x14ac:dyDescent="0.3">
      <c r="D762" s="1"/>
    </row>
    <row r="763" spans="3:4" x14ac:dyDescent="0.3">
      <c r="C763" s="1"/>
      <c r="D763" s="1"/>
    </row>
    <row r="764" spans="3:4" x14ac:dyDescent="0.3">
      <c r="C764" s="1"/>
    </row>
    <row r="772" spans="3:4" x14ac:dyDescent="0.3">
      <c r="D772" s="1"/>
    </row>
    <row r="773" spans="3:4" x14ac:dyDescent="0.3">
      <c r="D773" s="1"/>
    </row>
    <row r="774" spans="3:4" x14ac:dyDescent="0.3">
      <c r="D774" s="1"/>
    </row>
    <row r="775" spans="3:4" x14ac:dyDescent="0.3">
      <c r="D775" s="1"/>
    </row>
    <row r="776" spans="3:4" x14ac:dyDescent="0.3">
      <c r="D776" s="1"/>
    </row>
    <row r="777" spans="3:4" x14ac:dyDescent="0.3">
      <c r="D777" s="1"/>
    </row>
    <row r="778" spans="3:4" x14ac:dyDescent="0.3">
      <c r="D778" s="1"/>
    </row>
    <row r="783" spans="3:4" x14ac:dyDescent="0.3">
      <c r="C783" s="1"/>
      <c r="D783" s="1"/>
    </row>
    <row r="784" spans="3:4" x14ac:dyDescent="0.3">
      <c r="C784" s="1"/>
      <c r="D784" s="1"/>
    </row>
    <row r="785" spans="3:4" x14ac:dyDescent="0.3">
      <c r="C785" s="1"/>
      <c r="D785" s="1"/>
    </row>
    <row r="786" spans="3:4" x14ac:dyDescent="0.3">
      <c r="C786" s="1"/>
      <c r="D786" s="1"/>
    </row>
    <row r="789" spans="3:4" x14ac:dyDescent="0.3">
      <c r="C789" s="1"/>
    </row>
    <row r="801" spans="3:4" x14ac:dyDescent="0.3">
      <c r="D801" s="1"/>
    </row>
    <row r="805" spans="3:4" x14ac:dyDescent="0.3">
      <c r="C805" s="1"/>
    </row>
    <row r="807" spans="3:4" x14ac:dyDescent="0.3">
      <c r="C807" s="1"/>
      <c r="D807" s="1"/>
    </row>
    <row r="808" spans="3:4" x14ac:dyDescent="0.3">
      <c r="C808" s="1"/>
      <c r="D808" s="1"/>
    </row>
    <row r="809" spans="3:4" x14ac:dyDescent="0.3">
      <c r="C809" s="1"/>
      <c r="D809" s="1"/>
    </row>
    <row r="810" spans="3:4" x14ac:dyDescent="0.3">
      <c r="C810" s="1"/>
      <c r="D810" s="1"/>
    </row>
    <row r="819" spans="3:4" x14ac:dyDescent="0.3">
      <c r="D819" s="1"/>
    </row>
    <row r="820" spans="3:4" x14ac:dyDescent="0.3">
      <c r="D820" s="1"/>
    </row>
    <row r="821" spans="3:4" x14ac:dyDescent="0.3">
      <c r="D821" s="1"/>
    </row>
    <row r="822" spans="3:4" x14ac:dyDescent="0.3">
      <c r="D822" s="1"/>
    </row>
    <row r="823" spans="3:4" x14ac:dyDescent="0.3">
      <c r="D823" s="1"/>
    </row>
    <row r="826" spans="3:4" x14ac:dyDescent="0.3">
      <c r="C826" s="1"/>
    </row>
    <row r="827" spans="3:4" x14ac:dyDescent="0.3">
      <c r="C827" s="1"/>
    </row>
    <row r="838" spans="3:4" x14ac:dyDescent="0.3">
      <c r="C838" s="1"/>
    </row>
    <row r="839" spans="3:4" x14ac:dyDescent="0.3">
      <c r="C839" s="1"/>
      <c r="D839" s="1"/>
    </row>
    <row r="840" spans="3:4" x14ac:dyDescent="0.3">
      <c r="C840" s="1"/>
      <c r="D840" s="1"/>
    </row>
    <row r="844" spans="3:4" x14ac:dyDescent="0.3">
      <c r="C844" s="1"/>
      <c r="D844" s="1"/>
    </row>
    <row r="845" spans="3:4" x14ac:dyDescent="0.3">
      <c r="C845" s="1"/>
      <c r="D845" s="1"/>
    </row>
    <row r="846" spans="3:4" x14ac:dyDescent="0.3">
      <c r="C846" s="1"/>
      <c r="D846" s="1"/>
    </row>
    <row r="847" spans="3:4" x14ac:dyDescent="0.3">
      <c r="C847" s="1"/>
      <c r="D847" s="1"/>
    </row>
    <row r="850" spans="3:4" x14ac:dyDescent="0.3">
      <c r="C850" s="1"/>
      <c r="D850" s="1"/>
    </row>
    <row r="851" spans="3:4" x14ac:dyDescent="0.3">
      <c r="C851" s="1"/>
      <c r="D851" s="1"/>
    </row>
    <row r="854" spans="3:4" x14ac:dyDescent="0.3">
      <c r="D854" s="1"/>
    </row>
    <row r="857" spans="3:4" x14ac:dyDescent="0.3">
      <c r="C857" s="1"/>
      <c r="D857" s="1"/>
    </row>
    <row r="858" spans="3:4" x14ac:dyDescent="0.3">
      <c r="C858" s="1"/>
      <c r="D858" s="1"/>
    </row>
    <row r="859" spans="3:4" x14ac:dyDescent="0.3">
      <c r="C859" s="1"/>
      <c r="D859" s="1"/>
    </row>
    <row r="860" spans="3:4" x14ac:dyDescent="0.3">
      <c r="C860" s="1"/>
    </row>
    <row r="861" spans="3:4" x14ac:dyDescent="0.3">
      <c r="C861" s="1"/>
    </row>
    <row r="862" spans="3:4" x14ac:dyDescent="0.3">
      <c r="C862" s="1"/>
    </row>
    <row r="863" spans="3:4" x14ac:dyDescent="0.3">
      <c r="C863" s="1"/>
    </row>
    <row r="864" spans="3:4" x14ac:dyDescent="0.3">
      <c r="C864" s="1"/>
      <c r="D864" s="1"/>
    </row>
    <row r="865" spans="3:4" x14ac:dyDescent="0.3">
      <c r="C865" s="1"/>
      <c r="D865" s="1"/>
    </row>
    <row r="866" spans="3:4" x14ac:dyDescent="0.3">
      <c r="C866" s="1"/>
      <c r="D866" s="1"/>
    </row>
    <row r="867" spans="3:4" x14ac:dyDescent="0.3">
      <c r="C867" s="1"/>
    </row>
    <row r="868" spans="3:4" x14ac:dyDescent="0.3">
      <c r="C868" s="1"/>
    </row>
    <row r="869" spans="3:4" x14ac:dyDescent="0.3">
      <c r="D869" s="1"/>
    </row>
    <row r="870" spans="3:4" x14ac:dyDescent="0.3">
      <c r="C870" s="1"/>
      <c r="D870" s="1"/>
    </row>
    <row r="871" spans="3:4" x14ac:dyDescent="0.3">
      <c r="C871" s="1"/>
      <c r="D871" s="1"/>
    </row>
    <row r="872" spans="3:4" x14ac:dyDescent="0.3">
      <c r="C872" s="1"/>
      <c r="D872" s="1"/>
    </row>
    <row r="874" spans="3:4" x14ac:dyDescent="0.3">
      <c r="C874" s="1"/>
    </row>
    <row r="875" spans="3:4" x14ac:dyDescent="0.3">
      <c r="C875" s="1"/>
    </row>
    <row r="881" spans="3:4" x14ac:dyDescent="0.3">
      <c r="D881" s="1"/>
    </row>
    <row r="882" spans="3:4" x14ac:dyDescent="0.3">
      <c r="D882" s="1"/>
    </row>
    <row r="883" spans="3:4" x14ac:dyDescent="0.3">
      <c r="C883" s="1"/>
    </row>
    <row r="886" spans="3:4" x14ac:dyDescent="0.3">
      <c r="D886" s="1"/>
    </row>
    <row r="888" spans="3:4" x14ac:dyDescent="0.3">
      <c r="D888" s="1"/>
    </row>
    <row r="890" spans="3:4" x14ac:dyDescent="0.3">
      <c r="C890" s="1"/>
    </row>
    <row r="896" spans="3:4" x14ac:dyDescent="0.3">
      <c r="C896" s="1"/>
      <c r="D896" s="1"/>
    </row>
    <row r="897" spans="3:4" x14ac:dyDescent="0.3">
      <c r="C897" s="1"/>
      <c r="D897" s="1"/>
    </row>
    <row r="898" spans="3:4" x14ac:dyDescent="0.3">
      <c r="C898" s="1"/>
      <c r="D898" s="1"/>
    </row>
    <row r="899" spans="3:4" x14ac:dyDescent="0.3">
      <c r="C899" s="1"/>
    </row>
    <row r="901" spans="3:4" x14ac:dyDescent="0.3">
      <c r="C901" s="1"/>
      <c r="D901" s="1"/>
    </row>
    <row r="902" spans="3:4" x14ac:dyDescent="0.3">
      <c r="C902" s="1"/>
    </row>
    <row r="903" spans="3:4" x14ac:dyDescent="0.3">
      <c r="C903" s="1"/>
    </row>
    <row r="905" spans="3:4" x14ac:dyDescent="0.3">
      <c r="C905" s="1"/>
      <c r="D905" s="1"/>
    </row>
    <row r="906" spans="3:4" x14ac:dyDescent="0.3">
      <c r="C906" s="1"/>
      <c r="D906" s="1"/>
    </row>
    <row r="907" spans="3:4" x14ac:dyDescent="0.3">
      <c r="C907" s="1"/>
      <c r="D907" s="1"/>
    </row>
    <row r="908" spans="3:4" x14ac:dyDescent="0.3">
      <c r="D908" s="1"/>
    </row>
    <row r="909" spans="3:4" x14ac:dyDescent="0.3">
      <c r="D909" s="1"/>
    </row>
    <row r="910" spans="3:4" x14ac:dyDescent="0.3">
      <c r="D910" s="1"/>
    </row>
    <row r="911" spans="3:4" x14ac:dyDescent="0.3">
      <c r="C911" s="1"/>
      <c r="D911" s="1"/>
    </row>
    <row r="912" spans="3:4" x14ac:dyDescent="0.3">
      <c r="C912" s="1"/>
      <c r="D912" s="1"/>
    </row>
    <row r="913" spans="3:4" x14ac:dyDescent="0.3">
      <c r="C913" s="1"/>
      <c r="D913" s="1"/>
    </row>
    <row r="914" spans="3:4" x14ac:dyDescent="0.3">
      <c r="D914" s="1"/>
    </row>
    <row r="920" spans="3:4" x14ac:dyDescent="0.3">
      <c r="C920" s="1"/>
      <c r="D920" s="1"/>
    </row>
    <row r="921" spans="3:4" x14ac:dyDescent="0.3">
      <c r="C921" s="1"/>
      <c r="D921" s="1"/>
    </row>
    <row r="922" spans="3:4" x14ac:dyDescent="0.3">
      <c r="C922" s="1"/>
      <c r="D922" s="1"/>
    </row>
    <row r="923" spans="3:4" x14ac:dyDescent="0.3">
      <c r="C923" s="1"/>
    </row>
    <row r="924" spans="3:4" x14ac:dyDescent="0.3">
      <c r="C924" s="1"/>
    </row>
    <row r="925" spans="3:4" x14ac:dyDescent="0.3">
      <c r="C925" s="1"/>
    </row>
    <row r="929" spans="3:4" x14ac:dyDescent="0.3">
      <c r="C929" s="1"/>
      <c r="D929" s="1"/>
    </row>
    <row r="930" spans="3:4" x14ac:dyDescent="0.3">
      <c r="C930" s="1"/>
      <c r="D930" s="1"/>
    </row>
    <row r="934" spans="3:4" x14ac:dyDescent="0.3">
      <c r="C934" s="1"/>
      <c r="D934" s="1"/>
    </row>
    <row r="939" spans="3:4" x14ac:dyDescent="0.3">
      <c r="C939" s="1"/>
      <c r="D939" s="1"/>
    </row>
    <row r="945" spans="3:4" x14ac:dyDescent="0.3">
      <c r="D945" s="1"/>
    </row>
    <row r="946" spans="3:4" x14ac:dyDescent="0.3">
      <c r="D946" s="1"/>
    </row>
    <row r="947" spans="3:4" x14ac:dyDescent="0.3">
      <c r="D947" s="1"/>
    </row>
    <row r="949" spans="3:4" x14ac:dyDescent="0.3">
      <c r="D949" s="1"/>
    </row>
    <row r="950" spans="3:4" x14ac:dyDescent="0.3">
      <c r="D950" s="1"/>
    </row>
    <row r="951" spans="3:4" x14ac:dyDescent="0.3">
      <c r="D951" s="1"/>
    </row>
    <row r="952" spans="3:4" x14ac:dyDescent="0.3">
      <c r="D952" s="1"/>
    </row>
    <row r="953" spans="3:4" x14ac:dyDescent="0.3">
      <c r="D953" s="1"/>
    </row>
    <row r="954" spans="3:4" x14ac:dyDescent="0.3">
      <c r="C954" s="1"/>
      <c r="D954" s="1"/>
    </row>
    <row r="955" spans="3:4" x14ac:dyDescent="0.3">
      <c r="D955" s="1"/>
    </row>
    <row r="956" spans="3:4" x14ac:dyDescent="0.3">
      <c r="D956" s="1"/>
    </row>
    <row r="957" spans="3:4" x14ac:dyDescent="0.3">
      <c r="D957" s="1"/>
    </row>
    <row r="963" spans="3:4" x14ac:dyDescent="0.3">
      <c r="D963" s="1"/>
    </row>
    <row r="964" spans="3:4" x14ac:dyDescent="0.3">
      <c r="C964" s="1"/>
      <c r="D964" s="1"/>
    </row>
    <row r="966" spans="3:4" x14ac:dyDescent="0.3">
      <c r="C966" s="1"/>
      <c r="D966" s="1"/>
    </row>
    <row r="967" spans="3:4" x14ac:dyDescent="0.3">
      <c r="C967" s="1"/>
      <c r="D967" s="1"/>
    </row>
    <row r="968" spans="3:4" x14ac:dyDescent="0.3">
      <c r="C968" s="1"/>
      <c r="D968" s="1"/>
    </row>
    <row r="969" spans="3:4" x14ac:dyDescent="0.3">
      <c r="C969" s="1"/>
      <c r="D969" s="1"/>
    </row>
    <row r="970" spans="3:4" x14ac:dyDescent="0.3">
      <c r="C970" s="1"/>
      <c r="D970" s="1"/>
    </row>
    <row r="971" spans="3:4" x14ac:dyDescent="0.3">
      <c r="C971" s="1"/>
      <c r="D971" s="1"/>
    </row>
    <row r="976" spans="3:4" x14ac:dyDescent="0.3">
      <c r="C976" s="1"/>
      <c r="D976" s="1"/>
    </row>
    <row r="977" spans="3:4" x14ac:dyDescent="0.3">
      <c r="C977" s="1"/>
      <c r="D977" s="1"/>
    </row>
    <row r="978" spans="3:4" x14ac:dyDescent="0.3">
      <c r="C978" s="1"/>
    </row>
    <row r="979" spans="3:4" x14ac:dyDescent="0.3">
      <c r="C979" s="1"/>
      <c r="D979" s="1"/>
    </row>
    <row r="981" spans="3:4" x14ac:dyDescent="0.3">
      <c r="C981" s="1"/>
      <c r="D981" s="1"/>
    </row>
    <row r="982" spans="3:4" x14ac:dyDescent="0.3">
      <c r="C982" s="1"/>
      <c r="D982" s="1"/>
    </row>
    <row r="983" spans="3:4" x14ac:dyDescent="0.3">
      <c r="C983" s="1"/>
    </row>
    <row r="984" spans="3:4" x14ac:dyDescent="0.3">
      <c r="C984" s="1"/>
    </row>
    <row r="985" spans="3:4" x14ac:dyDescent="0.3">
      <c r="C985" s="1"/>
    </row>
    <row r="986" spans="3:4" x14ac:dyDescent="0.3">
      <c r="D986" s="1"/>
    </row>
    <row r="987" spans="3:4" x14ac:dyDescent="0.3">
      <c r="D987" s="1"/>
    </row>
    <row r="988" spans="3:4" x14ac:dyDescent="0.3">
      <c r="D988" s="1"/>
    </row>
    <row r="989" spans="3:4" x14ac:dyDescent="0.3">
      <c r="C989" s="1"/>
      <c r="D989" s="1"/>
    </row>
    <row r="993" spans="3:4" x14ac:dyDescent="0.3">
      <c r="C993" s="1"/>
      <c r="D993" s="1"/>
    </row>
    <row r="998" spans="3:4" x14ac:dyDescent="0.3">
      <c r="D998" s="1"/>
    </row>
    <row r="999" spans="3:4" x14ac:dyDescent="0.3">
      <c r="D999" s="1"/>
    </row>
    <row r="1000" spans="3:4" x14ac:dyDescent="0.3">
      <c r="D1000" s="1"/>
    </row>
    <row r="1001" spans="3:4" x14ac:dyDescent="0.3">
      <c r="D1001" s="1"/>
    </row>
    <row r="1008" spans="3:4" x14ac:dyDescent="0.3">
      <c r="C1008" s="1"/>
      <c r="D1008" s="1"/>
    </row>
    <row r="1009" spans="3:4" x14ac:dyDescent="0.3">
      <c r="C1009" s="1"/>
      <c r="D1009" s="1"/>
    </row>
    <row r="1010" spans="3:4" x14ac:dyDescent="0.3">
      <c r="D1010" s="1"/>
    </row>
    <row r="1011" spans="3:4" x14ac:dyDescent="0.3">
      <c r="C1011" s="1"/>
      <c r="D1011" s="1"/>
    </row>
    <row r="1018" spans="3:4" x14ac:dyDescent="0.3">
      <c r="C1018" s="1"/>
      <c r="D1018" s="1"/>
    </row>
    <row r="1019" spans="3:4" x14ac:dyDescent="0.3">
      <c r="C1019" s="1"/>
      <c r="D1019" s="1"/>
    </row>
    <row r="1020" spans="3:4" x14ac:dyDescent="0.3">
      <c r="C1020" s="1"/>
      <c r="D1020" s="1"/>
    </row>
    <row r="1021" spans="3:4" x14ac:dyDescent="0.3">
      <c r="C1021" s="1"/>
      <c r="D1021" s="1"/>
    </row>
    <row r="1022" spans="3:4" x14ac:dyDescent="0.3">
      <c r="D1022" s="1"/>
    </row>
    <row r="1023" spans="3:4" x14ac:dyDescent="0.3">
      <c r="D1023" s="1"/>
    </row>
    <row r="1024" spans="3:4" x14ac:dyDescent="0.3">
      <c r="D1024"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43" spans="3:4" x14ac:dyDescent="0.3">
      <c r="C1043" s="1"/>
      <c r="D1043" s="1"/>
    </row>
    <row r="1044" spans="3:4" x14ac:dyDescent="0.3">
      <c r="C1044" s="1"/>
      <c r="D1044" s="1"/>
    </row>
    <row r="1045" spans="3:4" x14ac:dyDescent="0.3">
      <c r="C1045" s="1"/>
      <c r="D1045" s="1"/>
    </row>
    <row r="1046" spans="3:4" x14ac:dyDescent="0.3">
      <c r="C1046" s="1"/>
      <c r="D1046" s="1"/>
    </row>
    <row r="1047" spans="3:4" x14ac:dyDescent="0.3">
      <c r="C1047" s="1"/>
    </row>
    <row r="1048" spans="3:4" x14ac:dyDescent="0.3">
      <c r="C1048" s="1"/>
    </row>
    <row r="1049" spans="3:4" x14ac:dyDescent="0.3">
      <c r="C1049" s="1"/>
    </row>
    <row r="1050" spans="3:4" x14ac:dyDescent="0.3">
      <c r="D1050" s="1"/>
    </row>
    <row r="1051" spans="3:4" x14ac:dyDescent="0.3">
      <c r="D1051" s="1"/>
    </row>
    <row r="1052" spans="3:4" x14ac:dyDescent="0.3">
      <c r="C1052" s="1"/>
      <c r="D1052" s="1"/>
    </row>
    <row r="1053" spans="3:4" x14ac:dyDescent="0.3">
      <c r="C1053" s="1"/>
      <c r="D1053" s="1"/>
    </row>
    <row r="1054" spans="3:4" x14ac:dyDescent="0.3">
      <c r="C1054" s="1"/>
      <c r="D1054" s="1"/>
    </row>
    <row r="1055" spans="3:4" x14ac:dyDescent="0.3">
      <c r="C1055" s="1"/>
      <c r="D1055" s="1"/>
    </row>
    <row r="1056" spans="3:4" x14ac:dyDescent="0.3">
      <c r="C1056" s="1"/>
      <c r="D1056" s="1"/>
    </row>
    <row r="1057" spans="3:4" x14ac:dyDescent="0.3">
      <c r="C1057" s="1"/>
      <c r="D1057" s="1"/>
    </row>
    <row r="1058" spans="3:4" x14ac:dyDescent="0.3">
      <c r="C1058" s="1"/>
      <c r="D1058" s="1"/>
    </row>
    <row r="1059" spans="3:4" x14ac:dyDescent="0.3">
      <c r="C1059" s="1"/>
    </row>
    <row r="1060" spans="3:4" x14ac:dyDescent="0.3">
      <c r="C1060" s="1"/>
    </row>
    <row r="1061" spans="3:4" x14ac:dyDescent="0.3">
      <c r="D1061" s="1"/>
    </row>
    <row r="1069" spans="3:4" x14ac:dyDescent="0.3">
      <c r="C1069" s="1"/>
      <c r="D1069" s="1"/>
    </row>
    <row r="1073" spans="3:4" x14ac:dyDescent="0.3">
      <c r="D1073" s="1"/>
    </row>
    <row r="1075" spans="3:4" x14ac:dyDescent="0.3">
      <c r="C1075" s="1"/>
    </row>
    <row r="1076" spans="3:4" x14ac:dyDescent="0.3">
      <c r="C1076" s="1"/>
    </row>
    <row r="1077" spans="3:4" x14ac:dyDescent="0.3">
      <c r="C1077" s="1"/>
    </row>
    <row r="1082" spans="3:4" x14ac:dyDescent="0.3">
      <c r="D1082" s="1"/>
    </row>
    <row r="1083" spans="3:4" x14ac:dyDescent="0.3">
      <c r="D1083" s="1"/>
    </row>
    <row r="1084" spans="3:4" x14ac:dyDescent="0.3">
      <c r="C1084" s="1"/>
      <c r="D1084" s="1"/>
    </row>
    <row r="1085" spans="3:4" x14ac:dyDescent="0.3">
      <c r="C1085" s="1"/>
      <c r="D1085" s="1"/>
    </row>
    <row r="1086" spans="3:4" x14ac:dyDescent="0.3">
      <c r="C1086" s="1"/>
      <c r="D1086" s="1"/>
    </row>
    <row r="1087" spans="3:4" x14ac:dyDescent="0.3">
      <c r="C1087" s="1"/>
      <c r="D1087" s="1"/>
    </row>
    <row r="1088" spans="3:4" x14ac:dyDescent="0.3">
      <c r="C1088" s="1"/>
      <c r="D1088" s="1"/>
    </row>
    <row r="1091" spans="3:4" x14ac:dyDescent="0.3">
      <c r="C1091" s="1"/>
      <c r="D1091" s="1"/>
    </row>
    <row r="1092" spans="3:4" x14ac:dyDescent="0.3">
      <c r="C1092" s="1"/>
      <c r="D1092" s="1"/>
    </row>
    <row r="1093" spans="3:4" x14ac:dyDescent="0.3">
      <c r="C1093" s="1"/>
    </row>
    <row r="1094" spans="3:4" x14ac:dyDescent="0.3">
      <c r="C1094" s="1"/>
    </row>
    <row r="1119" spans="3:4" x14ac:dyDescent="0.3">
      <c r="C1119" s="1"/>
      <c r="D1119" s="1"/>
    </row>
    <row r="1120" spans="3:4" x14ac:dyDescent="0.3">
      <c r="C1120" s="1"/>
      <c r="D1120" s="1"/>
    </row>
    <row r="1121" spans="3:4" x14ac:dyDescent="0.3">
      <c r="C1121" s="1"/>
      <c r="D1121" s="1"/>
    </row>
    <row r="1122" spans="3:4" x14ac:dyDescent="0.3">
      <c r="C1122" s="1"/>
      <c r="D1122" s="1"/>
    </row>
    <row r="1129" spans="3:4" x14ac:dyDescent="0.3">
      <c r="C1129" s="1"/>
      <c r="D1129" s="1"/>
    </row>
    <row r="1130" spans="3:4" x14ac:dyDescent="0.3">
      <c r="C1130" s="1"/>
      <c r="D1130" s="1"/>
    </row>
    <row r="1131" spans="3:4" x14ac:dyDescent="0.3">
      <c r="C1131" s="1"/>
    </row>
    <row r="1132" spans="3:4" x14ac:dyDescent="0.3">
      <c r="C1132" s="1"/>
    </row>
    <row r="1133" spans="3:4" x14ac:dyDescent="0.3">
      <c r="C1133" s="1"/>
    </row>
    <row r="1134" spans="3:4" x14ac:dyDescent="0.3">
      <c r="C1134" s="1"/>
      <c r="D1134" s="1"/>
    </row>
    <row r="1135" spans="3:4" x14ac:dyDescent="0.3">
      <c r="C1135" s="1"/>
      <c r="D1135" s="1"/>
    </row>
    <row r="1136" spans="3:4" x14ac:dyDescent="0.3">
      <c r="C1136" s="1"/>
      <c r="D1136" s="1"/>
    </row>
    <row r="1137" spans="3:4" x14ac:dyDescent="0.3">
      <c r="C1137" s="1"/>
      <c r="D1137" s="1"/>
    </row>
    <row r="1138" spans="3:4" x14ac:dyDescent="0.3">
      <c r="C1138" s="1"/>
    </row>
    <row r="1139" spans="3:4" x14ac:dyDescent="0.3">
      <c r="C1139" s="1"/>
    </row>
    <row r="1140" spans="3:4" x14ac:dyDescent="0.3">
      <c r="C1140" s="1"/>
    </row>
    <row r="1141" spans="3:4" x14ac:dyDescent="0.3">
      <c r="C1141" s="1"/>
    </row>
    <row r="1142" spans="3:4" x14ac:dyDescent="0.3">
      <c r="C1142" s="1"/>
    </row>
    <row r="1143" spans="3:4" x14ac:dyDescent="0.3">
      <c r="D1143" s="1"/>
    </row>
    <row r="1144" spans="3:4" x14ac:dyDescent="0.3">
      <c r="D1144" s="1"/>
    </row>
    <row r="1145" spans="3:4" x14ac:dyDescent="0.3">
      <c r="D1145" s="1"/>
    </row>
    <row r="1146" spans="3:4" x14ac:dyDescent="0.3">
      <c r="D1146" s="1"/>
    </row>
    <row r="1147" spans="3:4" x14ac:dyDescent="0.3">
      <c r="D1147" s="1"/>
    </row>
    <row r="1148" spans="3:4" x14ac:dyDescent="0.3">
      <c r="C1148" s="1"/>
      <c r="D1148" s="1"/>
    </row>
    <row r="1149" spans="3:4" x14ac:dyDescent="0.3">
      <c r="C1149" s="1"/>
      <c r="D1149" s="1"/>
    </row>
    <row r="1150" spans="3:4" x14ac:dyDescent="0.3">
      <c r="C1150" s="1"/>
      <c r="D1150" s="1"/>
    </row>
    <row r="1151" spans="3:4" x14ac:dyDescent="0.3">
      <c r="C1151" s="1"/>
      <c r="D1151" s="1"/>
    </row>
    <row r="1152" spans="3:4" x14ac:dyDescent="0.3">
      <c r="C1152" s="1"/>
      <c r="D1152" s="1"/>
    </row>
    <row r="1153" spans="3:4" x14ac:dyDescent="0.3">
      <c r="C1153" s="1"/>
    </row>
    <row r="1154" spans="3:4" x14ac:dyDescent="0.3">
      <c r="D1154" s="1"/>
    </row>
    <row r="1155" spans="3:4" x14ac:dyDescent="0.3">
      <c r="D1155" s="1"/>
    </row>
    <row r="1160" spans="3:4" x14ac:dyDescent="0.3">
      <c r="C1160" s="1"/>
      <c r="D1160" s="1"/>
    </row>
    <row r="1161" spans="3:4" x14ac:dyDescent="0.3">
      <c r="D1161" s="1"/>
    </row>
    <row r="1162" spans="3:4" x14ac:dyDescent="0.3">
      <c r="D1162" s="1"/>
    </row>
    <row r="1163" spans="3:4" x14ac:dyDescent="0.3">
      <c r="C1163" s="1"/>
      <c r="D1163" s="1"/>
    </row>
    <row r="1164" spans="3:4" x14ac:dyDescent="0.3">
      <c r="C1164" s="1"/>
      <c r="D1164" s="1"/>
    </row>
    <row r="1165" spans="3:4" x14ac:dyDescent="0.3">
      <c r="C1165" s="1"/>
      <c r="D1165" s="1"/>
    </row>
    <row r="1166" spans="3:4" x14ac:dyDescent="0.3">
      <c r="C1166" s="1"/>
      <c r="D1166" s="1"/>
    </row>
    <row r="1167" spans="3:4" x14ac:dyDescent="0.3">
      <c r="C1167" s="1"/>
      <c r="D1167" s="1"/>
    </row>
    <row r="1168" spans="3:4" x14ac:dyDescent="0.3">
      <c r="C1168" s="1"/>
      <c r="D1168" s="1"/>
    </row>
    <row r="1169" spans="3:4" x14ac:dyDescent="0.3">
      <c r="C1169" s="1"/>
      <c r="D1169" s="1"/>
    </row>
    <row r="1170" spans="3:4" x14ac:dyDescent="0.3">
      <c r="C1170" s="1"/>
      <c r="D1170" s="1"/>
    </row>
    <row r="1171" spans="3:4" x14ac:dyDescent="0.3">
      <c r="C1171" s="1"/>
      <c r="D1171" s="1"/>
    </row>
    <row r="1172" spans="3:4" x14ac:dyDescent="0.3">
      <c r="C1172" s="1"/>
      <c r="D1172" s="1"/>
    </row>
    <row r="1173" spans="3:4" x14ac:dyDescent="0.3">
      <c r="C1173" s="1"/>
    </row>
    <row r="1177" spans="3:4" x14ac:dyDescent="0.3">
      <c r="D1177" s="1"/>
    </row>
    <row r="1179" spans="3:4" x14ac:dyDescent="0.3">
      <c r="C1179" s="1"/>
      <c r="D1179" s="1"/>
    </row>
    <row r="1180" spans="3:4" x14ac:dyDescent="0.3">
      <c r="C1180" s="1"/>
      <c r="D1180" s="1"/>
    </row>
    <row r="1199" spans="3:4" x14ac:dyDescent="0.3">
      <c r="C1199" s="1"/>
      <c r="D1199" s="1"/>
    </row>
    <row r="1200" spans="3:4" x14ac:dyDescent="0.3">
      <c r="C1200" s="1"/>
      <c r="D1200" s="1"/>
    </row>
    <row r="1201" spans="3:4" x14ac:dyDescent="0.3">
      <c r="C1201" s="1"/>
      <c r="D1201" s="1"/>
    </row>
    <row r="1207" spans="3:4" x14ac:dyDescent="0.3">
      <c r="C1207" s="1"/>
      <c r="D1207" s="1"/>
    </row>
    <row r="1214" spans="3:4" x14ac:dyDescent="0.3">
      <c r="C1214" s="1"/>
    </row>
    <row r="1215" spans="3:4" x14ac:dyDescent="0.3">
      <c r="C1215" s="1"/>
    </row>
    <row r="1216" spans="3:4" x14ac:dyDescent="0.3">
      <c r="C1216" s="1"/>
    </row>
    <row r="1217" spans="3:4" x14ac:dyDescent="0.3">
      <c r="C1217" s="1"/>
    </row>
    <row r="1218" spans="3:4" x14ac:dyDescent="0.3">
      <c r="C1218" s="1"/>
    </row>
    <row r="1219" spans="3:4" x14ac:dyDescent="0.3">
      <c r="C1219" s="1"/>
    </row>
    <row r="1220" spans="3:4" x14ac:dyDescent="0.3">
      <c r="C1220" s="1"/>
    </row>
    <row r="1221" spans="3:4" x14ac:dyDescent="0.3">
      <c r="C1221" s="1"/>
    </row>
    <row r="1222" spans="3:4" x14ac:dyDescent="0.3">
      <c r="C1222" s="1"/>
    </row>
    <row r="1223" spans="3:4" x14ac:dyDescent="0.3">
      <c r="C1223" s="1"/>
    </row>
    <row r="1224" spans="3:4" x14ac:dyDescent="0.3">
      <c r="C1224" s="1"/>
      <c r="D1224" s="1"/>
    </row>
    <row r="1225" spans="3:4" x14ac:dyDescent="0.3">
      <c r="C1225" s="1"/>
      <c r="D1225" s="1"/>
    </row>
    <row r="1226" spans="3:4" x14ac:dyDescent="0.3">
      <c r="C1226" s="1"/>
      <c r="D1226" s="1"/>
    </row>
    <row r="1227" spans="3:4" x14ac:dyDescent="0.3">
      <c r="C1227" s="1"/>
      <c r="D1227" s="1"/>
    </row>
    <row r="1228" spans="3:4" x14ac:dyDescent="0.3">
      <c r="C1228" s="1"/>
      <c r="D1228" s="1"/>
    </row>
    <row r="1229" spans="3:4" x14ac:dyDescent="0.3">
      <c r="C1229" s="1"/>
      <c r="D1229" s="1"/>
    </row>
    <row r="1230" spans="3:4" x14ac:dyDescent="0.3">
      <c r="C1230" s="1"/>
      <c r="D1230" s="1"/>
    </row>
    <row r="1231" spans="3:4" x14ac:dyDescent="0.3">
      <c r="C1231" s="1"/>
      <c r="D1231" s="1"/>
    </row>
    <row r="1232" spans="3:4" x14ac:dyDescent="0.3">
      <c r="C1232" s="1"/>
      <c r="D1232" s="1"/>
    </row>
    <row r="1233" spans="3:4" x14ac:dyDescent="0.3">
      <c r="D1233" s="1"/>
    </row>
    <row r="1234" spans="3:4" x14ac:dyDescent="0.3">
      <c r="D1234" s="1"/>
    </row>
    <row r="1235" spans="3:4" x14ac:dyDescent="0.3">
      <c r="D1235" s="1"/>
    </row>
    <row r="1240" spans="3:4" x14ac:dyDescent="0.3">
      <c r="C1240" s="1"/>
    </row>
    <row r="1241" spans="3:4" x14ac:dyDescent="0.3">
      <c r="C1241" s="1"/>
    </row>
    <row r="1242" spans="3:4" x14ac:dyDescent="0.3">
      <c r="C1242" s="1"/>
    </row>
    <row r="1243" spans="3:4" x14ac:dyDescent="0.3">
      <c r="D1243" s="1"/>
    </row>
    <row r="1247" spans="3:4" x14ac:dyDescent="0.3">
      <c r="C1247" s="1"/>
    </row>
    <row r="1248" spans="3:4" x14ac:dyDescent="0.3">
      <c r="C1248" s="1"/>
    </row>
    <row r="1249" spans="3:4" x14ac:dyDescent="0.3">
      <c r="C1249" s="1"/>
    </row>
    <row r="1254" spans="3:4" x14ac:dyDescent="0.3">
      <c r="C1254" s="1"/>
      <c r="D1254" s="1"/>
    </row>
    <row r="1255" spans="3:4" x14ac:dyDescent="0.3">
      <c r="C1255" s="1"/>
    </row>
    <row r="1256" spans="3:4" x14ac:dyDescent="0.3">
      <c r="C1256" s="1"/>
    </row>
    <row r="1257" spans="3:4" x14ac:dyDescent="0.3">
      <c r="C1257" s="1"/>
    </row>
    <row r="1258" spans="3:4" x14ac:dyDescent="0.3">
      <c r="C1258" s="1"/>
    </row>
    <row r="1263" spans="3:4" x14ac:dyDescent="0.3">
      <c r="D1263" s="1"/>
    </row>
    <row r="1264" spans="3:4" x14ac:dyDescent="0.3">
      <c r="C1264" s="1"/>
      <c r="D1264" s="1"/>
    </row>
    <row r="1265" spans="3:4" x14ac:dyDescent="0.3">
      <c r="C1265" s="1"/>
      <c r="D1265" s="1"/>
    </row>
    <row r="1266" spans="3:4" x14ac:dyDescent="0.3">
      <c r="C1266" s="1"/>
      <c r="D1266" s="1"/>
    </row>
    <row r="1267" spans="3:4" x14ac:dyDescent="0.3">
      <c r="C1267" s="1"/>
      <c r="D1267" s="1"/>
    </row>
    <row r="1271" spans="3:4" x14ac:dyDescent="0.3">
      <c r="C1271" s="1"/>
      <c r="D1271" s="1"/>
    </row>
    <row r="1279" spans="3:4" x14ac:dyDescent="0.3">
      <c r="C1279" s="1"/>
      <c r="D1279" s="1"/>
    </row>
    <row r="1280" spans="3:4" x14ac:dyDescent="0.3">
      <c r="C1280" s="1"/>
      <c r="D1280" s="1"/>
    </row>
    <row r="1281" spans="3:4" x14ac:dyDescent="0.3">
      <c r="C1281" s="1"/>
      <c r="D1281" s="1"/>
    </row>
    <row r="1282" spans="3:4" x14ac:dyDescent="0.3">
      <c r="C1282" s="1"/>
      <c r="D1282" s="1"/>
    </row>
    <row r="1283" spans="3:4" x14ac:dyDescent="0.3">
      <c r="C1283" s="1"/>
      <c r="D1283" s="1"/>
    </row>
    <row r="1284" spans="3:4" x14ac:dyDescent="0.3">
      <c r="C1284" s="1"/>
      <c r="D1284" s="1"/>
    </row>
    <row r="1285" spans="3:4" x14ac:dyDescent="0.3">
      <c r="C1285" s="1"/>
      <c r="D1285" s="1"/>
    </row>
    <row r="1286" spans="3:4" x14ac:dyDescent="0.3">
      <c r="C1286" s="1"/>
      <c r="D1286" s="1"/>
    </row>
    <row r="1287" spans="3:4" x14ac:dyDescent="0.3">
      <c r="D1287" s="1"/>
    </row>
    <row r="1288" spans="3:4" x14ac:dyDescent="0.3">
      <c r="C1288" s="1"/>
      <c r="D1288" s="1"/>
    </row>
    <row r="1292" spans="3:4" x14ac:dyDescent="0.3">
      <c r="C1292" s="1"/>
      <c r="D1292" s="1"/>
    </row>
    <row r="1293" spans="3:4" x14ac:dyDescent="0.3">
      <c r="C1293" s="1"/>
      <c r="D1293" s="1"/>
    </row>
    <row r="1294" spans="3:4" x14ac:dyDescent="0.3">
      <c r="D1294" s="1"/>
    </row>
    <row r="1295" spans="3:4" x14ac:dyDescent="0.3">
      <c r="D1295" s="1"/>
    </row>
    <row r="1296" spans="3:4" x14ac:dyDescent="0.3">
      <c r="D1296" s="1"/>
    </row>
    <row r="1298" spans="3:4" x14ac:dyDescent="0.3">
      <c r="D1298" s="1"/>
    </row>
    <row r="1299" spans="3:4" x14ac:dyDescent="0.3">
      <c r="D1299" s="1"/>
    </row>
    <row r="1300" spans="3:4" x14ac:dyDescent="0.3">
      <c r="C1300" s="1"/>
      <c r="D1300" s="1"/>
    </row>
    <row r="1301" spans="3:4" x14ac:dyDescent="0.3">
      <c r="C1301" s="1"/>
      <c r="D1301" s="1"/>
    </row>
    <row r="1305" spans="3:4" x14ac:dyDescent="0.3">
      <c r="C1305" s="1"/>
      <c r="D1305" s="1"/>
    </row>
    <row r="1306" spans="3:4" x14ac:dyDescent="0.3">
      <c r="C1306" s="1"/>
      <c r="D1306" s="1"/>
    </row>
    <row r="1313" spans="3:4" x14ac:dyDescent="0.3">
      <c r="C1313" s="1"/>
    </row>
    <row r="1314" spans="3:4" x14ac:dyDescent="0.3">
      <c r="C1314" s="1"/>
    </row>
    <row r="1315" spans="3:4" x14ac:dyDescent="0.3">
      <c r="D1315" s="1"/>
    </row>
    <row r="1319" spans="3:4" x14ac:dyDescent="0.3">
      <c r="C1319" s="1"/>
    </row>
    <row r="1320" spans="3:4" x14ac:dyDescent="0.3">
      <c r="C1320" s="1"/>
      <c r="D1320" s="1"/>
    </row>
    <row r="1321" spans="3:4" x14ac:dyDescent="0.3">
      <c r="C1321" s="1"/>
      <c r="D1321" s="1"/>
    </row>
    <row r="1322" spans="3:4" x14ac:dyDescent="0.3">
      <c r="C1322" s="1"/>
      <c r="D1322" s="1"/>
    </row>
    <row r="1323" spans="3:4" x14ac:dyDescent="0.3">
      <c r="C1323" s="1"/>
      <c r="D1323" s="1"/>
    </row>
    <row r="1324" spans="3:4" x14ac:dyDescent="0.3">
      <c r="C1324" s="1"/>
      <c r="D1324" s="1"/>
    </row>
    <row r="1325" spans="3:4" x14ac:dyDescent="0.3">
      <c r="C1325" s="1"/>
      <c r="D1325" s="1"/>
    </row>
    <row r="1326" spans="3:4" x14ac:dyDescent="0.3">
      <c r="D1326" s="1"/>
    </row>
    <row r="1329" spans="3:4" x14ac:dyDescent="0.3">
      <c r="D1329" s="1"/>
    </row>
    <row r="1332" spans="3:4" x14ac:dyDescent="0.3">
      <c r="C1332" s="1"/>
      <c r="D1332" s="1"/>
    </row>
    <row r="1333" spans="3:4" x14ac:dyDescent="0.3">
      <c r="C1333" s="1"/>
      <c r="D1333" s="1"/>
    </row>
    <row r="1336" spans="3:4" x14ac:dyDescent="0.3">
      <c r="C1336" s="1"/>
      <c r="D1336" s="1"/>
    </row>
    <row r="1338" spans="3:4" x14ac:dyDescent="0.3">
      <c r="C1338" s="1"/>
      <c r="D1338" s="1"/>
    </row>
    <row r="1339" spans="3:4" x14ac:dyDescent="0.3">
      <c r="D1339" s="1"/>
    </row>
    <row r="1340" spans="3:4" x14ac:dyDescent="0.3">
      <c r="D1340" s="1"/>
    </row>
    <row r="1341" spans="3:4" x14ac:dyDescent="0.3">
      <c r="D1341" s="1"/>
    </row>
    <row r="1342" spans="3:4" x14ac:dyDescent="0.3">
      <c r="C1342" s="1"/>
      <c r="D1342" s="1"/>
    </row>
    <row r="1343" spans="3:4" x14ac:dyDescent="0.3">
      <c r="C1343" s="1"/>
      <c r="D1343" s="1"/>
    </row>
    <row r="1344" spans="3:4" x14ac:dyDescent="0.3">
      <c r="C1344" s="1"/>
      <c r="D1344" s="1"/>
    </row>
    <row r="1345" spans="3:4" x14ac:dyDescent="0.3">
      <c r="D1345" s="1"/>
    </row>
    <row r="1346" spans="3:4" x14ac:dyDescent="0.3">
      <c r="D1346" s="1"/>
    </row>
    <row r="1352" spans="3:4" x14ac:dyDescent="0.3">
      <c r="C1352" s="1"/>
      <c r="D1352" s="1"/>
    </row>
    <row r="1354" spans="3:4" x14ac:dyDescent="0.3">
      <c r="C1354" s="1"/>
      <c r="D1354" s="1"/>
    </row>
    <row r="1355" spans="3:4" x14ac:dyDescent="0.3">
      <c r="C1355" s="1"/>
      <c r="D1355" s="1"/>
    </row>
    <row r="1356" spans="3:4" x14ac:dyDescent="0.3">
      <c r="C1356" s="1"/>
      <c r="D1356" s="1"/>
    </row>
    <row r="1357" spans="3:4" x14ac:dyDescent="0.3">
      <c r="C1357" s="1"/>
      <c r="D1357" s="1"/>
    </row>
    <row r="1358" spans="3:4" x14ac:dyDescent="0.3">
      <c r="C1358" s="1"/>
      <c r="D1358" s="1"/>
    </row>
    <row r="1359" spans="3:4" x14ac:dyDescent="0.3">
      <c r="C1359" s="1"/>
      <c r="D1359" s="1"/>
    </row>
    <row r="1361" spans="3:4" x14ac:dyDescent="0.3">
      <c r="D1361" s="1"/>
    </row>
    <row r="1365" spans="3:4" x14ac:dyDescent="0.3">
      <c r="C1365" s="1"/>
      <c r="D1365" s="1"/>
    </row>
    <row r="1366" spans="3:4" x14ac:dyDescent="0.3">
      <c r="C1366" s="1"/>
      <c r="D1366" s="1"/>
    </row>
    <row r="1367" spans="3:4" x14ac:dyDescent="0.3">
      <c r="C1367" s="1"/>
      <c r="D1367" s="1"/>
    </row>
    <row r="1368" spans="3:4" x14ac:dyDescent="0.3">
      <c r="C1368" s="1"/>
      <c r="D1368" s="1"/>
    </row>
    <row r="1369" spans="3:4" x14ac:dyDescent="0.3">
      <c r="C1369" s="1"/>
      <c r="D1369" s="1"/>
    </row>
    <row r="1370" spans="3:4" x14ac:dyDescent="0.3">
      <c r="C1370" s="1"/>
      <c r="D1370" s="1"/>
    </row>
    <row r="1373" spans="3:4" x14ac:dyDescent="0.3">
      <c r="C1373" s="1"/>
      <c r="D1373" s="1"/>
    </row>
    <row r="1374" spans="3:4" x14ac:dyDescent="0.3">
      <c r="C1374" s="1"/>
      <c r="D1374" s="1"/>
    </row>
    <row r="1375" spans="3:4" x14ac:dyDescent="0.3">
      <c r="C1375" s="1"/>
      <c r="D1375" s="1"/>
    </row>
    <row r="1377" spans="3:4" x14ac:dyDescent="0.3">
      <c r="C1377" s="1"/>
      <c r="D1377" s="1"/>
    </row>
    <row r="1378" spans="3:4" x14ac:dyDescent="0.3">
      <c r="C1378" s="1"/>
      <c r="D1378" s="1"/>
    </row>
    <row r="1379" spans="3:4" x14ac:dyDescent="0.3">
      <c r="C1379" s="1"/>
      <c r="D1379" s="1"/>
    </row>
    <row r="1380" spans="3:4" x14ac:dyDescent="0.3">
      <c r="C1380" s="1"/>
      <c r="D1380" s="1"/>
    </row>
    <row r="1381" spans="3:4" x14ac:dyDescent="0.3">
      <c r="C1381" s="1"/>
      <c r="D1381" s="1"/>
    </row>
    <row r="1382" spans="3:4" x14ac:dyDescent="0.3">
      <c r="C1382" s="1"/>
      <c r="D1382" s="1"/>
    </row>
    <row r="1383" spans="3:4" x14ac:dyDescent="0.3">
      <c r="C1383" s="1"/>
      <c r="D1383" s="1"/>
    </row>
    <row r="1384" spans="3:4" x14ac:dyDescent="0.3">
      <c r="C1384" s="1"/>
      <c r="D1384" s="1"/>
    </row>
    <row r="1385" spans="3:4" x14ac:dyDescent="0.3">
      <c r="C1385" s="1"/>
      <c r="D1385" s="1"/>
    </row>
    <row r="1386" spans="3:4" x14ac:dyDescent="0.3">
      <c r="C1386" s="1"/>
      <c r="D1386" s="1"/>
    </row>
    <row r="1387" spans="3:4" x14ac:dyDescent="0.3">
      <c r="C1387" s="1"/>
      <c r="D1387" s="1"/>
    </row>
    <row r="1388" spans="3:4" x14ac:dyDescent="0.3">
      <c r="C1388" s="1"/>
      <c r="D1388" s="1"/>
    </row>
    <row r="1389" spans="3:4" x14ac:dyDescent="0.3">
      <c r="C1389" s="1"/>
      <c r="D1389" s="1"/>
    </row>
    <row r="1390" spans="3:4" x14ac:dyDescent="0.3">
      <c r="C1390" s="1"/>
      <c r="D1390" s="1"/>
    </row>
    <row r="1391" spans="3:4" x14ac:dyDescent="0.3">
      <c r="C1391" s="1"/>
      <c r="D1391" s="1"/>
    </row>
    <row r="1392" spans="3:4" x14ac:dyDescent="0.3">
      <c r="C1392" s="1"/>
      <c r="D1392" s="1"/>
    </row>
    <row r="1393" spans="3:4" x14ac:dyDescent="0.3">
      <c r="C1393" s="1"/>
      <c r="D1393" s="1"/>
    </row>
    <row r="1394" spans="3:4" x14ac:dyDescent="0.3">
      <c r="C1394" s="1"/>
      <c r="D1394" s="1"/>
    </row>
    <row r="1395" spans="3:4" x14ac:dyDescent="0.3">
      <c r="C1395" s="1"/>
      <c r="D1395" s="1"/>
    </row>
    <row r="1396" spans="3:4" x14ac:dyDescent="0.3">
      <c r="C1396" s="1"/>
    </row>
    <row r="1397" spans="3:4" x14ac:dyDescent="0.3">
      <c r="C1397" s="1"/>
    </row>
    <row r="1402" spans="3:4" x14ac:dyDescent="0.3">
      <c r="C1402" s="1"/>
      <c r="D1402" s="1"/>
    </row>
    <row r="1403" spans="3:4" x14ac:dyDescent="0.3">
      <c r="C1403" s="1"/>
      <c r="D1403" s="1"/>
    </row>
    <row r="1406" spans="3:4" x14ac:dyDescent="0.3">
      <c r="C1406" s="1"/>
      <c r="D1406" s="1"/>
    </row>
    <row r="1407" spans="3:4" x14ac:dyDescent="0.3">
      <c r="C1407" s="1"/>
      <c r="D1407" s="1"/>
    </row>
    <row r="1408" spans="3:4" x14ac:dyDescent="0.3">
      <c r="C1408" s="1"/>
      <c r="D1408" s="1"/>
    </row>
    <row r="1409" spans="3:4" x14ac:dyDescent="0.3">
      <c r="C1409" s="1"/>
      <c r="D1409" s="1"/>
    </row>
    <row r="1410" spans="3:4" x14ac:dyDescent="0.3">
      <c r="C1410" s="1"/>
      <c r="D1410" s="1"/>
    </row>
    <row r="1412" spans="3:4" x14ac:dyDescent="0.3">
      <c r="C1412" s="1"/>
      <c r="D1412" s="1"/>
    </row>
    <row r="1413" spans="3:4" x14ac:dyDescent="0.3">
      <c r="C1413" s="1"/>
    </row>
    <row r="1414" spans="3:4" x14ac:dyDescent="0.3">
      <c r="C1414" s="1"/>
    </row>
    <row r="1415" spans="3:4" x14ac:dyDescent="0.3">
      <c r="D1415" s="1"/>
    </row>
    <row r="1428" spans="4:4" x14ac:dyDescent="0.3">
      <c r="D1428" s="1"/>
    </row>
    <row r="1429" spans="4:4" x14ac:dyDescent="0.3">
      <c r="D1429" s="1"/>
    </row>
    <row r="1430" spans="4:4" x14ac:dyDescent="0.3">
      <c r="D1430" s="1"/>
    </row>
    <row r="1431" spans="4:4" x14ac:dyDescent="0.3">
      <c r="D1431" s="1"/>
    </row>
    <row r="1441" spans="3:4" x14ac:dyDescent="0.3">
      <c r="C1441" s="1"/>
    </row>
    <row r="1442" spans="3:4" x14ac:dyDescent="0.3">
      <c r="C1442" s="1"/>
    </row>
    <row r="1444" spans="3:4" x14ac:dyDescent="0.3">
      <c r="C1444" s="1"/>
      <c r="D1444" s="1"/>
    </row>
    <row r="1445" spans="3:4" x14ac:dyDescent="0.3">
      <c r="C1445" s="1"/>
      <c r="D1445" s="1"/>
    </row>
    <row r="1451" spans="3:4" x14ac:dyDescent="0.3">
      <c r="C1451" s="1"/>
      <c r="D1451" s="1"/>
    </row>
    <row r="1457" spans="3:4" x14ac:dyDescent="0.3">
      <c r="C1457" s="1"/>
    </row>
    <row r="1458" spans="3:4" x14ac:dyDescent="0.3">
      <c r="C1458" s="1"/>
    </row>
    <row r="1460" spans="3:4" x14ac:dyDescent="0.3">
      <c r="D1460" s="1"/>
    </row>
    <row r="1461" spans="3:4" x14ac:dyDescent="0.3">
      <c r="C1461" s="1"/>
      <c r="D1461" s="1"/>
    </row>
    <row r="1462" spans="3:4" x14ac:dyDescent="0.3">
      <c r="C1462" s="1"/>
      <c r="D1462" s="1"/>
    </row>
    <row r="1463" spans="3:4" x14ac:dyDescent="0.3">
      <c r="C1463" s="1"/>
    </row>
    <row r="1467" spans="3:4" x14ac:dyDescent="0.3">
      <c r="C1467" s="1"/>
    </row>
    <row r="1468" spans="3:4" x14ac:dyDescent="0.3">
      <c r="C1468" s="1"/>
    </row>
    <row r="1470" spans="3:4" x14ac:dyDescent="0.3">
      <c r="C1470" s="1"/>
    </row>
    <row r="1471" spans="3:4" x14ac:dyDescent="0.3">
      <c r="C1471" s="1"/>
    </row>
    <row r="1472" spans="3:4" x14ac:dyDescent="0.3">
      <c r="C1472" s="1"/>
    </row>
    <row r="1474" spans="3:4" x14ac:dyDescent="0.3">
      <c r="C1474" s="1"/>
    </row>
    <row r="1475" spans="3:4" x14ac:dyDescent="0.3">
      <c r="C1475" s="1"/>
      <c r="D1475" s="1"/>
    </row>
    <row r="1481" spans="3:4" x14ac:dyDescent="0.3">
      <c r="C1481" s="1"/>
      <c r="D1481" s="1"/>
    </row>
    <row r="1482" spans="3:4" x14ac:dyDescent="0.3">
      <c r="C1482" s="1"/>
      <c r="D1482" s="1"/>
    </row>
    <row r="1483" spans="3:4" x14ac:dyDescent="0.3">
      <c r="C1483" s="1"/>
      <c r="D1483" s="1"/>
    </row>
    <row r="1487" spans="3:4" x14ac:dyDescent="0.3">
      <c r="D1487" s="1"/>
    </row>
    <row r="1488" spans="3:4" x14ac:dyDescent="0.3">
      <c r="C1488" s="1"/>
      <c r="D1488" s="1"/>
    </row>
    <row r="1489" spans="3:4" x14ac:dyDescent="0.3">
      <c r="C1489" s="1"/>
      <c r="D1489" s="1"/>
    </row>
    <row r="1490" spans="3:4" x14ac:dyDescent="0.3">
      <c r="C1490" s="1"/>
      <c r="D1490" s="1"/>
    </row>
    <row r="1491" spans="3:4" x14ac:dyDescent="0.3">
      <c r="D1491" s="1"/>
    </row>
    <row r="1492" spans="3:4" x14ac:dyDescent="0.3">
      <c r="D1492" s="1"/>
    </row>
    <row r="1495" spans="3:4" x14ac:dyDescent="0.3">
      <c r="D1495" s="1"/>
    </row>
    <row r="1497" spans="3:4" x14ac:dyDescent="0.3">
      <c r="C1497" s="1"/>
      <c r="D1497" s="1"/>
    </row>
    <row r="1498" spans="3:4" x14ac:dyDescent="0.3">
      <c r="C1498" s="1"/>
      <c r="D1498" s="1"/>
    </row>
    <row r="1499" spans="3:4" x14ac:dyDescent="0.3">
      <c r="C1499" s="1"/>
      <c r="D1499" s="1"/>
    </row>
    <row r="1501" spans="3:4" x14ac:dyDescent="0.3">
      <c r="C1501" s="1"/>
    </row>
    <row r="1502" spans="3:4" x14ac:dyDescent="0.3">
      <c r="C1502" s="1"/>
    </row>
    <row r="1503" spans="3:4" x14ac:dyDescent="0.3">
      <c r="C1503" s="1"/>
    </row>
    <row r="1504" spans="3:4" x14ac:dyDescent="0.3">
      <c r="D1504" s="1"/>
    </row>
    <row r="1505" spans="3:4" x14ac:dyDescent="0.3">
      <c r="D1505" s="1"/>
    </row>
    <row r="1506" spans="3:4" x14ac:dyDescent="0.3">
      <c r="C1506" s="1"/>
      <c r="D1506" s="1"/>
    </row>
    <row r="1507" spans="3:4" x14ac:dyDescent="0.3">
      <c r="C1507" s="1"/>
      <c r="D1507" s="1"/>
    </row>
    <row r="1510" spans="3:4" x14ac:dyDescent="0.3">
      <c r="C1510" s="1"/>
      <c r="D1510" s="1"/>
    </row>
    <row r="1511" spans="3:4" x14ac:dyDescent="0.3">
      <c r="C1511" s="1"/>
    </row>
    <row r="1512" spans="3:4" x14ac:dyDescent="0.3">
      <c r="D1512" s="1"/>
    </row>
    <row r="1513" spans="3:4" x14ac:dyDescent="0.3">
      <c r="D1513" s="1"/>
    </row>
    <row r="1517" spans="3:4" x14ac:dyDescent="0.3">
      <c r="C1517" s="1"/>
    </row>
    <row r="1518" spans="3:4" x14ac:dyDescent="0.3">
      <c r="C1518" s="1"/>
    </row>
    <row r="1519" spans="3:4" x14ac:dyDescent="0.3">
      <c r="C1519" s="1"/>
      <c r="D1519" s="1"/>
    </row>
    <row r="1520" spans="3:4" x14ac:dyDescent="0.3">
      <c r="C1520" s="1"/>
      <c r="D1520" s="1"/>
    </row>
    <row r="1521" spans="3:4" x14ac:dyDescent="0.3">
      <c r="C1521" s="1"/>
    </row>
    <row r="1523" spans="3:4" x14ac:dyDescent="0.3">
      <c r="C1523" s="1"/>
      <c r="D1523" s="1"/>
    </row>
    <row r="1524" spans="3:4" x14ac:dyDescent="0.3">
      <c r="C1524" s="1"/>
      <c r="D1524" s="1"/>
    </row>
    <row r="1525" spans="3:4" x14ac:dyDescent="0.3">
      <c r="C1525" s="1"/>
      <c r="D1525" s="1"/>
    </row>
    <row r="1526" spans="3:4" x14ac:dyDescent="0.3">
      <c r="C1526" s="1"/>
      <c r="D1526" s="1"/>
    </row>
    <row r="1527" spans="3:4" x14ac:dyDescent="0.3">
      <c r="C1527" s="1"/>
      <c r="D1527" s="1"/>
    </row>
    <row r="1530" spans="3:4" x14ac:dyDescent="0.3">
      <c r="C1530" s="1"/>
      <c r="D1530" s="1"/>
    </row>
    <row r="1531" spans="3:4" x14ac:dyDescent="0.3">
      <c r="C1531" s="1"/>
      <c r="D1531" s="1"/>
    </row>
    <row r="1533" spans="3:4" x14ac:dyDescent="0.3">
      <c r="D1533" s="1"/>
    </row>
    <row r="1534" spans="3:4" x14ac:dyDescent="0.3">
      <c r="D1534" s="1"/>
    </row>
    <row r="1535" spans="3:4" x14ac:dyDescent="0.3">
      <c r="C1535" s="1"/>
      <c r="D1535" s="1"/>
    </row>
    <row r="1536" spans="3:4" x14ac:dyDescent="0.3">
      <c r="C1536" s="1"/>
    </row>
    <row r="1537" spans="3:4" x14ac:dyDescent="0.3">
      <c r="D1537" s="1"/>
    </row>
    <row r="1538" spans="3:4" x14ac:dyDescent="0.3">
      <c r="D1538" s="1"/>
    </row>
    <row r="1543" spans="3:4" x14ac:dyDescent="0.3">
      <c r="C1543" s="1"/>
    </row>
    <row r="1544" spans="3:4" x14ac:dyDescent="0.3">
      <c r="C1544" s="1"/>
    </row>
    <row r="1545" spans="3:4" x14ac:dyDescent="0.3">
      <c r="C1545" s="1"/>
      <c r="D1545" s="1"/>
    </row>
    <row r="1546" spans="3:4" x14ac:dyDescent="0.3">
      <c r="C1546" s="1"/>
      <c r="D1546" s="1"/>
    </row>
    <row r="1547" spans="3:4" x14ac:dyDescent="0.3">
      <c r="D1547" s="1"/>
    </row>
    <row r="1551" spans="3:4" x14ac:dyDescent="0.3">
      <c r="C1551" s="1"/>
      <c r="D1551" s="1"/>
    </row>
    <row r="1554" spans="3:4" x14ac:dyDescent="0.3">
      <c r="C1554" s="1"/>
      <c r="D1554" s="1"/>
    </row>
    <row r="1556" spans="3:4" x14ac:dyDescent="0.3">
      <c r="C1556" s="1"/>
    </row>
    <row r="1557" spans="3:4" x14ac:dyDescent="0.3">
      <c r="C1557" s="1"/>
      <c r="D1557" s="1"/>
    </row>
    <row r="1558" spans="3:4" x14ac:dyDescent="0.3">
      <c r="C1558" s="1"/>
    </row>
    <row r="1559" spans="3:4" x14ac:dyDescent="0.3">
      <c r="C1559" s="1"/>
    </row>
    <row r="1561" spans="3:4" x14ac:dyDescent="0.3">
      <c r="C1561" s="1"/>
    </row>
    <row r="1562" spans="3:4" x14ac:dyDescent="0.3">
      <c r="C1562" s="1"/>
      <c r="D1562" s="1"/>
    </row>
    <row r="1563" spans="3:4" x14ac:dyDescent="0.3">
      <c r="C1563" s="1"/>
      <c r="D1563" s="1"/>
    </row>
    <row r="1565" spans="3:4" x14ac:dyDescent="0.3">
      <c r="C1565" s="1"/>
      <c r="D1565" s="1"/>
    </row>
    <row r="1566" spans="3:4" x14ac:dyDescent="0.3">
      <c r="C1566" s="1"/>
      <c r="D1566" s="1"/>
    </row>
    <row r="1570" spans="3:4" x14ac:dyDescent="0.3">
      <c r="C1570" s="1"/>
      <c r="D1570" s="1"/>
    </row>
    <row r="1580" spans="3:4" x14ac:dyDescent="0.3">
      <c r="D1580" s="1"/>
    </row>
    <row r="1581" spans="3:4" x14ac:dyDescent="0.3">
      <c r="C1581" s="1"/>
      <c r="D1581" s="1"/>
    </row>
    <row r="1582" spans="3:4" x14ac:dyDescent="0.3">
      <c r="C1582" s="1"/>
      <c r="D1582" s="1"/>
    </row>
    <row r="1583" spans="3:4" x14ac:dyDescent="0.3">
      <c r="C1583" s="1"/>
      <c r="D1583" s="1"/>
    </row>
    <row r="1584" spans="3:4" x14ac:dyDescent="0.3">
      <c r="C1584" s="1"/>
      <c r="D1584" s="1"/>
    </row>
    <row r="1585" spans="3:4" x14ac:dyDescent="0.3">
      <c r="C1585" s="1"/>
      <c r="D1585" s="1"/>
    </row>
    <row r="1586" spans="3:4" x14ac:dyDescent="0.3">
      <c r="C1586" s="1"/>
      <c r="D1586" s="1"/>
    </row>
    <row r="1587" spans="3:4" x14ac:dyDescent="0.3">
      <c r="C1587" s="1"/>
      <c r="D1587" s="1"/>
    </row>
    <row r="1588" spans="3:4" x14ac:dyDescent="0.3">
      <c r="C1588" s="1"/>
      <c r="D1588" s="1"/>
    </row>
    <row r="1589" spans="3:4" x14ac:dyDescent="0.3">
      <c r="C1589" s="1"/>
      <c r="D1589" s="1"/>
    </row>
    <row r="1590" spans="3:4" x14ac:dyDescent="0.3">
      <c r="C1590" s="1"/>
      <c r="D1590" s="1"/>
    </row>
    <row r="1591" spans="3:4" x14ac:dyDescent="0.3">
      <c r="C1591" s="1"/>
    </row>
    <row r="1597" spans="3:4" x14ac:dyDescent="0.3">
      <c r="C1597" s="1"/>
      <c r="D1597" s="1"/>
    </row>
    <row r="1603" spans="3:4" x14ac:dyDescent="0.3">
      <c r="C1603" s="1"/>
    </row>
    <row r="1604" spans="3:4" x14ac:dyDescent="0.3">
      <c r="C1604" s="1"/>
    </row>
    <row r="1605" spans="3:4" x14ac:dyDescent="0.3">
      <c r="D1605" s="1"/>
    </row>
    <row r="1617" spans="3:4" x14ac:dyDescent="0.3">
      <c r="C1617" s="1"/>
    </row>
    <row r="1618" spans="3:4" x14ac:dyDescent="0.3">
      <c r="C1618" s="1"/>
    </row>
    <row r="1619" spans="3:4" x14ac:dyDescent="0.3">
      <c r="C1619" s="1"/>
    </row>
    <row r="1620" spans="3:4" x14ac:dyDescent="0.3">
      <c r="C1620" s="1"/>
    </row>
    <row r="1621" spans="3:4" x14ac:dyDescent="0.3">
      <c r="C1621" s="1"/>
    </row>
    <row r="1622" spans="3:4" x14ac:dyDescent="0.3">
      <c r="C1622" s="1"/>
    </row>
    <row r="1623" spans="3:4" x14ac:dyDescent="0.3">
      <c r="C1623" s="1"/>
    </row>
    <row r="1624" spans="3:4" x14ac:dyDescent="0.3">
      <c r="C1624" s="1"/>
    </row>
    <row r="1625" spans="3:4" x14ac:dyDescent="0.3">
      <c r="C1625" s="1"/>
    </row>
    <row r="1632" spans="3:4" x14ac:dyDescent="0.3">
      <c r="C1632" s="1"/>
      <c r="D1632" s="1"/>
    </row>
    <row r="1633" spans="3:4" x14ac:dyDescent="0.3">
      <c r="C1633" s="1"/>
      <c r="D1633" s="1"/>
    </row>
    <row r="1634" spans="3:4" x14ac:dyDescent="0.3">
      <c r="C1634" s="1"/>
      <c r="D1634" s="1"/>
    </row>
    <row r="1635" spans="3:4" x14ac:dyDescent="0.3">
      <c r="C1635" s="1"/>
      <c r="D1635" s="1"/>
    </row>
    <row r="1636" spans="3:4" x14ac:dyDescent="0.3">
      <c r="C1636" s="1"/>
      <c r="D1636" s="1"/>
    </row>
    <row r="1637" spans="3:4" x14ac:dyDescent="0.3">
      <c r="D1637" s="1"/>
    </row>
    <row r="1638" spans="3:4" x14ac:dyDescent="0.3">
      <c r="D1638" s="1"/>
    </row>
    <row r="1639" spans="3:4" x14ac:dyDescent="0.3">
      <c r="D1639" s="1"/>
    </row>
    <row r="1640" spans="3:4" x14ac:dyDescent="0.3">
      <c r="D1640" s="1"/>
    </row>
    <row r="1641" spans="3:4" x14ac:dyDescent="0.3">
      <c r="D1641" s="1"/>
    </row>
    <row r="1642" spans="3:4" x14ac:dyDescent="0.3">
      <c r="D1642" s="1"/>
    </row>
    <row r="1643" spans="3:4" x14ac:dyDescent="0.3">
      <c r="D1643" s="1"/>
    </row>
    <row r="1644" spans="3:4" x14ac:dyDescent="0.3">
      <c r="D1644" s="1"/>
    </row>
    <row r="1648" spans="3:4" x14ac:dyDescent="0.3">
      <c r="C1648" s="1"/>
      <c r="D1648" s="1"/>
    </row>
    <row r="1649" spans="3:4" x14ac:dyDescent="0.3">
      <c r="C1649" s="1"/>
      <c r="D1649" s="1"/>
    </row>
    <row r="1659" spans="3:4" x14ac:dyDescent="0.3">
      <c r="C1659" s="1"/>
    </row>
    <row r="1661" spans="3:4" x14ac:dyDescent="0.3">
      <c r="D1661" s="1"/>
    </row>
    <row r="1662" spans="3:4" x14ac:dyDescent="0.3">
      <c r="D1662" s="1"/>
    </row>
    <row r="1663" spans="3:4" x14ac:dyDescent="0.3">
      <c r="D1663" s="1"/>
    </row>
    <row r="1664" spans="3:4" x14ac:dyDescent="0.3">
      <c r="D1664" s="1"/>
    </row>
    <row r="1671" spans="3:4" x14ac:dyDescent="0.3">
      <c r="C1671" s="1"/>
    </row>
    <row r="1674" spans="3:4" x14ac:dyDescent="0.3">
      <c r="C1674" s="1"/>
      <c r="D1674" s="1"/>
    </row>
    <row r="1675" spans="3:4" x14ac:dyDescent="0.3">
      <c r="C1675" s="1"/>
      <c r="D1675" s="1"/>
    </row>
    <row r="1680" spans="3:4" x14ac:dyDescent="0.3">
      <c r="C1680" s="1"/>
    </row>
    <row r="1681" spans="3:4" x14ac:dyDescent="0.3">
      <c r="C1681" s="1"/>
    </row>
    <row r="1682" spans="3:4" x14ac:dyDescent="0.3">
      <c r="C1682" s="1"/>
    </row>
    <row r="1683" spans="3:4" x14ac:dyDescent="0.3">
      <c r="C1683" s="1"/>
    </row>
    <row r="1684" spans="3:4" x14ac:dyDescent="0.3">
      <c r="D1684" s="1"/>
    </row>
    <row r="1685" spans="3:4" x14ac:dyDescent="0.3">
      <c r="C1685" s="1"/>
      <c r="D1685" s="1"/>
    </row>
    <row r="1689" spans="3:4" x14ac:dyDescent="0.3">
      <c r="C1689" s="1"/>
      <c r="D1689" s="1"/>
    </row>
    <row r="1690" spans="3:4" x14ac:dyDescent="0.3">
      <c r="C1690" s="1"/>
      <c r="D1690" s="1"/>
    </row>
    <row r="1692" spans="3:4" x14ac:dyDescent="0.3">
      <c r="C1692" s="1"/>
    </row>
    <row r="1693" spans="3:4" x14ac:dyDescent="0.3">
      <c r="C1693" s="1"/>
    </row>
    <row r="1701" spans="3:4" x14ac:dyDescent="0.3">
      <c r="C1701" s="1"/>
      <c r="D1701" s="1"/>
    </row>
    <row r="1705" spans="3:4" x14ac:dyDescent="0.3">
      <c r="C1705" s="1"/>
      <c r="D1705" s="1"/>
    </row>
    <row r="1706" spans="3:4" x14ac:dyDescent="0.3">
      <c r="C1706" s="1"/>
      <c r="D1706" s="1"/>
    </row>
    <row r="1708" spans="3:4" x14ac:dyDescent="0.3">
      <c r="D1708" s="1"/>
    </row>
    <row r="1709" spans="3:4" x14ac:dyDescent="0.3">
      <c r="D1709" s="1"/>
    </row>
    <row r="1710" spans="3:4" x14ac:dyDescent="0.3">
      <c r="D1710" s="1"/>
    </row>
    <row r="1711" spans="3:4" x14ac:dyDescent="0.3">
      <c r="D1711" s="1"/>
    </row>
    <row r="1712" spans="3:4" x14ac:dyDescent="0.3">
      <c r="D1712" s="1"/>
    </row>
    <row r="1713" spans="3:4" x14ac:dyDescent="0.3">
      <c r="D1713" s="1"/>
    </row>
    <row r="1714" spans="3:4" x14ac:dyDescent="0.3">
      <c r="D1714" s="1"/>
    </row>
    <row r="1715" spans="3:4" x14ac:dyDescent="0.3">
      <c r="C1715" s="1"/>
    </row>
    <row r="1716" spans="3:4" x14ac:dyDescent="0.3">
      <c r="C1716" s="1"/>
    </row>
    <row r="1717" spans="3:4" x14ac:dyDescent="0.3">
      <c r="D1717" s="1"/>
    </row>
    <row r="1729" spans="3:4" x14ac:dyDescent="0.3">
      <c r="D1729" s="1"/>
    </row>
    <row r="1730" spans="3:4" x14ac:dyDescent="0.3">
      <c r="C1730" s="1"/>
      <c r="D1730" s="1"/>
    </row>
    <row r="1731" spans="3:4" x14ac:dyDescent="0.3">
      <c r="C1731" s="1"/>
      <c r="D1731" s="1"/>
    </row>
    <row r="1732" spans="3:4" x14ac:dyDescent="0.3">
      <c r="D1732" s="1"/>
    </row>
    <row r="1733" spans="3:4" x14ac:dyDescent="0.3">
      <c r="D1733" s="1"/>
    </row>
    <row r="1734" spans="3:4" x14ac:dyDescent="0.3">
      <c r="C1734" s="1"/>
    </row>
    <row r="1735" spans="3:4" x14ac:dyDescent="0.3">
      <c r="C1735" s="1"/>
    </row>
    <row r="1736" spans="3:4" x14ac:dyDescent="0.3">
      <c r="D1736" s="1"/>
    </row>
    <row r="1737" spans="3:4" x14ac:dyDescent="0.3">
      <c r="D1737" s="1"/>
    </row>
    <row r="1738" spans="3:4" x14ac:dyDescent="0.3">
      <c r="D1738" s="1"/>
    </row>
    <row r="1739" spans="3:4" x14ac:dyDescent="0.3">
      <c r="C1739" s="1"/>
      <c r="D1739" s="1"/>
    </row>
    <row r="1740" spans="3:4" x14ac:dyDescent="0.3">
      <c r="C1740" s="1"/>
      <c r="D1740" s="1"/>
    </row>
    <row r="1741" spans="3:4" x14ac:dyDescent="0.3">
      <c r="C1741" s="1"/>
      <c r="D1741" s="1"/>
    </row>
    <row r="1742" spans="3:4" x14ac:dyDescent="0.3">
      <c r="C1742" s="1"/>
    </row>
    <row r="1743" spans="3:4" x14ac:dyDescent="0.3">
      <c r="D1743" s="1"/>
    </row>
    <row r="1744" spans="3:4" x14ac:dyDescent="0.3">
      <c r="D1744" s="1"/>
    </row>
    <row r="1745" spans="3:4" x14ac:dyDescent="0.3">
      <c r="D1745" s="1"/>
    </row>
    <row r="1746" spans="3:4" x14ac:dyDescent="0.3">
      <c r="D1746" s="1"/>
    </row>
    <row r="1747" spans="3:4" x14ac:dyDescent="0.3">
      <c r="C1747" s="1"/>
      <c r="D1747" s="1"/>
    </row>
    <row r="1754" spans="3:4" x14ac:dyDescent="0.3">
      <c r="C1754" s="1"/>
      <c r="D1754" s="1"/>
    </row>
    <row r="1755" spans="3:4" x14ac:dyDescent="0.3">
      <c r="C1755" s="1"/>
      <c r="D1755" s="1"/>
    </row>
    <row r="1756" spans="3:4" x14ac:dyDescent="0.3">
      <c r="C1756" s="1"/>
      <c r="D1756" s="1"/>
    </row>
    <row r="1757" spans="3:4" x14ac:dyDescent="0.3">
      <c r="C1757" s="1"/>
      <c r="D1757" s="1"/>
    </row>
    <row r="1758" spans="3:4" x14ac:dyDescent="0.3">
      <c r="C1758" s="1"/>
      <c r="D1758" s="1"/>
    </row>
    <row r="1760" spans="3:4" x14ac:dyDescent="0.3">
      <c r="C1760" s="1"/>
    </row>
    <row r="1761" spans="3:4" x14ac:dyDescent="0.3">
      <c r="C1761" s="1"/>
      <c r="D1761" s="1"/>
    </row>
    <row r="1762" spans="3:4" x14ac:dyDescent="0.3">
      <c r="C1762" s="1"/>
      <c r="D1762" s="1"/>
    </row>
    <row r="1763" spans="3:4" x14ac:dyDescent="0.3">
      <c r="C1763" s="1"/>
      <c r="D1763" s="1"/>
    </row>
    <row r="1764" spans="3:4" x14ac:dyDescent="0.3">
      <c r="C1764" s="1"/>
      <c r="D1764" s="1"/>
    </row>
    <row r="1765" spans="3:4" x14ac:dyDescent="0.3">
      <c r="C1765" s="1"/>
      <c r="D1765" s="1"/>
    </row>
    <row r="1766" spans="3:4" x14ac:dyDescent="0.3">
      <c r="C1766" s="1"/>
      <c r="D1766" s="1"/>
    </row>
    <row r="1767" spans="3:4" x14ac:dyDescent="0.3">
      <c r="C1767" s="1"/>
      <c r="D1767" s="1"/>
    </row>
    <row r="1768" spans="3:4" x14ac:dyDescent="0.3">
      <c r="C1768" s="1"/>
      <c r="D1768" s="1"/>
    </row>
    <row r="1771" spans="3:4" x14ac:dyDescent="0.3">
      <c r="C1771" s="1"/>
      <c r="D1771" s="1"/>
    </row>
    <row r="1772" spans="3:4" x14ac:dyDescent="0.3">
      <c r="C1772" s="1"/>
      <c r="D1772" s="1"/>
    </row>
    <row r="1775" spans="3:4" x14ac:dyDescent="0.3">
      <c r="D1775" s="1"/>
    </row>
    <row r="1776" spans="3:4" x14ac:dyDescent="0.3">
      <c r="D1776" s="1"/>
    </row>
    <row r="1777" spans="3:4" x14ac:dyDescent="0.3">
      <c r="D1777" s="1"/>
    </row>
    <row r="1778" spans="3:4" x14ac:dyDescent="0.3">
      <c r="D1778" s="1"/>
    </row>
    <row r="1781" spans="3:4" x14ac:dyDescent="0.3">
      <c r="C1781" s="1"/>
    </row>
    <row r="1782" spans="3:4" x14ac:dyDescent="0.3">
      <c r="C1782" s="1"/>
    </row>
    <row r="1783" spans="3:4" x14ac:dyDescent="0.3">
      <c r="C1783" s="1"/>
    </row>
    <row r="1784" spans="3:4" x14ac:dyDescent="0.3">
      <c r="C1784" s="1"/>
    </row>
    <row r="1792" spans="3:4" x14ac:dyDescent="0.3">
      <c r="D1792" s="1"/>
    </row>
    <row r="1793" spans="3:4" x14ac:dyDescent="0.3">
      <c r="C1793" s="1"/>
      <c r="D1793" s="1"/>
    </row>
    <row r="1794" spans="3:4" x14ac:dyDescent="0.3">
      <c r="C1794" s="1"/>
      <c r="D1794" s="1"/>
    </row>
    <row r="1795" spans="3:4" x14ac:dyDescent="0.3">
      <c r="C1795" s="1"/>
    </row>
    <row r="1796" spans="3:4" x14ac:dyDescent="0.3">
      <c r="C1796" s="1"/>
      <c r="D1796" s="1"/>
    </row>
    <row r="1800" spans="3:4" x14ac:dyDescent="0.3">
      <c r="C1800" s="1"/>
      <c r="D1800" s="1"/>
    </row>
    <row r="1801" spans="3:4" x14ac:dyDescent="0.3">
      <c r="C1801" s="1"/>
      <c r="D1801" s="1"/>
    </row>
    <row r="1802" spans="3:4" x14ac:dyDescent="0.3">
      <c r="C1802" s="1"/>
      <c r="D1802" s="1"/>
    </row>
    <row r="1810" spans="3:4" x14ac:dyDescent="0.3">
      <c r="C1810" s="1"/>
    </row>
    <row r="1813" spans="3:4" x14ac:dyDescent="0.3">
      <c r="C1813" s="1"/>
      <c r="D1813" s="1"/>
    </row>
    <row r="1817" spans="3:4" x14ac:dyDescent="0.3">
      <c r="C1817" s="1"/>
      <c r="D1817" s="1"/>
    </row>
    <row r="1818" spans="3:4" x14ac:dyDescent="0.3">
      <c r="C1818" s="1"/>
      <c r="D1818" s="1"/>
    </row>
    <row r="1829" spans="3:4" x14ac:dyDescent="0.3">
      <c r="C1829" s="1"/>
      <c r="D1829" s="1"/>
    </row>
    <row r="1834" spans="3:4" x14ac:dyDescent="0.3">
      <c r="C1834" s="1"/>
      <c r="D1834" s="1"/>
    </row>
    <row r="1835" spans="3:4" x14ac:dyDescent="0.3">
      <c r="C1835" s="1"/>
      <c r="D1835" s="1"/>
    </row>
    <row r="1836" spans="3:4" x14ac:dyDescent="0.3">
      <c r="C1836" s="1"/>
      <c r="D1836" s="1"/>
    </row>
    <row r="1839" spans="3:4" x14ac:dyDescent="0.3">
      <c r="C1839" s="1"/>
      <c r="D1839" s="1"/>
    </row>
    <row r="1840" spans="3:4" x14ac:dyDescent="0.3">
      <c r="C1840" s="1"/>
      <c r="D1840" s="1"/>
    </row>
    <row r="1841" spans="3:4" x14ac:dyDescent="0.3">
      <c r="C1841" s="1"/>
      <c r="D1841" s="1"/>
    </row>
    <row r="1842" spans="3:4" x14ac:dyDescent="0.3">
      <c r="C1842" s="1"/>
      <c r="D1842" s="1"/>
    </row>
    <row r="1844" spans="3:4" x14ac:dyDescent="0.3">
      <c r="C1844" s="1"/>
      <c r="D1844" s="1"/>
    </row>
    <row r="1845" spans="3:4" x14ac:dyDescent="0.3">
      <c r="C1845" s="1"/>
      <c r="D1845" s="1"/>
    </row>
    <row r="1846" spans="3:4" x14ac:dyDescent="0.3">
      <c r="D1846" s="1"/>
    </row>
    <row r="1847" spans="3:4" x14ac:dyDescent="0.3">
      <c r="C1847" s="1"/>
    </row>
    <row r="1848" spans="3:4" x14ac:dyDescent="0.3">
      <c r="C1848" s="1"/>
    </row>
    <row r="1849" spans="3:4" x14ac:dyDescent="0.3">
      <c r="C1849" s="1"/>
      <c r="D1849" s="1"/>
    </row>
    <row r="1850" spans="3:4" x14ac:dyDescent="0.3">
      <c r="C1850" s="1"/>
      <c r="D1850" s="1"/>
    </row>
    <row r="1858" spans="3:4" x14ac:dyDescent="0.3">
      <c r="C1858" s="1"/>
    </row>
    <row r="1859" spans="3:4" x14ac:dyDescent="0.3">
      <c r="C1859" s="1"/>
    </row>
    <row r="1860" spans="3:4" x14ac:dyDescent="0.3">
      <c r="C1860" s="1"/>
      <c r="D1860" s="1"/>
    </row>
    <row r="1861" spans="3:4" x14ac:dyDescent="0.3">
      <c r="C1861" s="1"/>
      <c r="D1861" s="1"/>
    </row>
    <row r="1864" spans="3:4" x14ac:dyDescent="0.3">
      <c r="C1864" s="1"/>
      <c r="D1864" s="1"/>
    </row>
    <row r="1867" spans="3:4" x14ac:dyDescent="0.3">
      <c r="C1867" s="1"/>
      <c r="D1867" s="1"/>
    </row>
    <row r="1869" spans="3:4" x14ac:dyDescent="0.3">
      <c r="D1869" s="1"/>
    </row>
    <row r="1870" spans="3:4" x14ac:dyDescent="0.3">
      <c r="D1870" s="1"/>
    </row>
    <row r="1876" spans="3:4" x14ac:dyDescent="0.3">
      <c r="C1876" s="1"/>
      <c r="D1876" s="1"/>
    </row>
    <row r="1877" spans="3:4" x14ac:dyDescent="0.3">
      <c r="C1877" s="1"/>
    </row>
    <row r="1879" spans="3:4" x14ac:dyDescent="0.3">
      <c r="D1879" s="1"/>
    </row>
    <row r="1880" spans="3:4" x14ac:dyDescent="0.3">
      <c r="D1880" s="1"/>
    </row>
    <row r="1881" spans="3:4" x14ac:dyDescent="0.3">
      <c r="D1881" s="1"/>
    </row>
    <row r="1882" spans="3:4" x14ac:dyDescent="0.3">
      <c r="C1882" s="1"/>
      <c r="D1882" s="1"/>
    </row>
    <row r="1883" spans="3:4" x14ac:dyDescent="0.3">
      <c r="C1883" s="1"/>
      <c r="D1883" s="1"/>
    </row>
    <row r="1884" spans="3:4" x14ac:dyDescent="0.3">
      <c r="C1884" s="1"/>
      <c r="D1884" s="1"/>
    </row>
    <row r="1896" spans="3:4" x14ac:dyDescent="0.3">
      <c r="C1896" s="1"/>
      <c r="D1896" s="1"/>
    </row>
    <row r="1897" spans="3:4" x14ac:dyDescent="0.3">
      <c r="D1897" s="1"/>
    </row>
    <row r="1898" spans="3:4" x14ac:dyDescent="0.3">
      <c r="C1898" s="1"/>
      <c r="D1898" s="1"/>
    </row>
    <row r="1899" spans="3:4" x14ac:dyDescent="0.3">
      <c r="D1899" s="1"/>
    </row>
    <row r="1900" spans="3:4" x14ac:dyDescent="0.3">
      <c r="D1900" s="1"/>
    </row>
    <row r="1901" spans="3:4" x14ac:dyDescent="0.3">
      <c r="D1901" s="1"/>
    </row>
    <row r="1902" spans="3:4" x14ac:dyDescent="0.3">
      <c r="D1902" s="1"/>
    </row>
    <row r="1910" spans="3:4" x14ac:dyDescent="0.3">
      <c r="C1910" s="1"/>
      <c r="D1910" s="1"/>
    </row>
    <row r="1913" spans="3:4" x14ac:dyDescent="0.3">
      <c r="C1913" s="1"/>
      <c r="D1913" s="1"/>
    </row>
    <row r="1914" spans="3:4" x14ac:dyDescent="0.3">
      <c r="C1914" s="1"/>
      <c r="D1914" s="1"/>
    </row>
    <row r="1916" spans="3:4" x14ac:dyDescent="0.3">
      <c r="D1916" s="1"/>
    </row>
    <row r="1917" spans="3:4" x14ac:dyDescent="0.3">
      <c r="D1917" s="1"/>
    </row>
    <row r="1918" spans="3:4" x14ac:dyDescent="0.3">
      <c r="D1918" s="1"/>
    </row>
    <row r="1919" spans="3:4" x14ac:dyDescent="0.3">
      <c r="C1919" s="1"/>
    </row>
    <row r="1920" spans="3:4" x14ac:dyDescent="0.3">
      <c r="D1920" s="1"/>
    </row>
    <row r="1923" spans="3:4" x14ac:dyDescent="0.3">
      <c r="C1923" s="1"/>
      <c r="D1923" s="1"/>
    </row>
    <row r="1924" spans="3:4" x14ac:dyDescent="0.3">
      <c r="C1924" s="1"/>
      <c r="D1924" s="1"/>
    </row>
    <row r="1925" spans="3:4" x14ac:dyDescent="0.3">
      <c r="C1925" s="1"/>
      <c r="D1925" s="1"/>
    </row>
    <row r="1926" spans="3:4" x14ac:dyDescent="0.3">
      <c r="C1926" s="1"/>
      <c r="D1926" s="1"/>
    </row>
    <row r="1927" spans="3:4" x14ac:dyDescent="0.3">
      <c r="C1927" s="1"/>
    </row>
    <row r="1928" spans="3:4" x14ac:dyDescent="0.3">
      <c r="C1928" s="1"/>
    </row>
    <row r="1929" spans="3:4" x14ac:dyDescent="0.3">
      <c r="D1929" s="1"/>
    </row>
    <row r="1934" spans="3:4" x14ac:dyDescent="0.3">
      <c r="C1934" s="1"/>
      <c r="D1934" s="1"/>
    </row>
    <row r="1935" spans="3:4" x14ac:dyDescent="0.3">
      <c r="C1935" s="1"/>
      <c r="D1935" s="1"/>
    </row>
    <row r="1936" spans="3:4" x14ac:dyDescent="0.3">
      <c r="D1936" s="1"/>
    </row>
    <row r="1937" spans="3:4" x14ac:dyDescent="0.3">
      <c r="D1937" s="1"/>
    </row>
    <row r="1939" spans="3:4" x14ac:dyDescent="0.3">
      <c r="C1939" s="1"/>
      <c r="D1939" s="1"/>
    </row>
    <row r="1940" spans="3:4" x14ac:dyDescent="0.3">
      <c r="C1940" s="1"/>
      <c r="D1940" s="1"/>
    </row>
    <row r="1941" spans="3:4" x14ac:dyDescent="0.3">
      <c r="C1941" s="1"/>
      <c r="D1941" s="1"/>
    </row>
    <row r="1942" spans="3:4" x14ac:dyDescent="0.3">
      <c r="C1942" s="1"/>
      <c r="D1942" s="1"/>
    </row>
    <row r="1943" spans="3:4" x14ac:dyDescent="0.3">
      <c r="D1943" s="1"/>
    </row>
    <row r="1944" spans="3:4" x14ac:dyDescent="0.3">
      <c r="D1944" s="1"/>
    </row>
    <row r="1945" spans="3:4" x14ac:dyDescent="0.3">
      <c r="D1945" s="1"/>
    </row>
    <row r="1948" spans="3:4" x14ac:dyDescent="0.3">
      <c r="C1948" s="1"/>
      <c r="D1948" s="1"/>
    </row>
    <row r="1949" spans="3:4" x14ac:dyDescent="0.3">
      <c r="C1949" s="1"/>
      <c r="D1949" s="1"/>
    </row>
    <row r="1950" spans="3:4" x14ac:dyDescent="0.3">
      <c r="C1950" s="1"/>
      <c r="D1950" s="1"/>
    </row>
    <row r="1951" spans="3:4" x14ac:dyDescent="0.3">
      <c r="C1951" s="1"/>
      <c r="D1951" s="1"/>
    </row>
    <row r="1952" spans="3:4" x14ac:dyDescent="0.3">
      <c r="C1952" s="1"/>
      <c r="D1952" s="1"/>
    </row>
    <row r="1953" spans="3:4" x14ac:dyDescent="0.3">
      <c r="C1953" s="1"/>
      <c r="D1953" s="1"/>
    </row>
    <row r="1954" spans="3:4" x14ac:dyDescent="0.3">
      <c r="C1954" s="1"/>
      <c r="D1954" s="1"/>
    </row>
    <row r="1955" spans="3:4" x14ac:dyDescent="0.3">
      <c r="C1955" s="1"/>
      <c r="D1955" s="1"/>
    </row>
    <row r="1956" spans="3:4" x14ac:dyDescent="0.3">
      <c r="C1956" s="1"/>
      <c r="D1956" s="1"/>
    </row>
    <row r="1957" spans="3:4" x14ac:dyDescent="0.3">
      <c r="C1957" s="1"/>
      <c r="D1957" s="1"/>
    </row>
    <row r="1958" spans="3:4" x14ac:dyDescent="0.3">
      <c r="C1958" s="1"/>
      <c r="D1958" s="1"/>
    </row>
    <row r="1959" spans="3:4" x14ac:dyDescent="0.3">
      <c r="C1959" s="1"/>
      <c r="D1959" s="1"/>
    </row>
    <row r="1960" spans="3:4" x14ac:dyDescent="0.3">
      <c r="C1960" s="1"/>
    </row>
    <row r="1961" spans="3:4" x14ac:dyDescent="0.3">
      <c r="C1961" s="1"/>
    </row>
    <row r="1962" spans="3:4" x14ac:dyDescent="0.3">
      <c r="C1962" s="1"/>
    </row>
    <row r="1963" spans="3:4" x14ac:dyDescent="0.3">
      <c r="C1963" s="1"/>
    </row>
    <row r="1964" spans="3:4" x14ac:dyDescent="0.3">
      <c r="C1964" s="1"/>
    </row>
    <row r="1965" spans="3:4" x14ac:dyDescent="0.3">
      <c r="C1965" s="1"/>
    </row>
    <row r="1966" spans="3:4" x14ac:dyDescent="0.3">
      <c r="C1966" s="1"/>
    </row>
    <row r="1967" spans="3:4" x14ac:dyDescent="0.3">
      <c r="C1967" s="1"/>
    </row>
    <row r="1972" spans="3:4" x14ac:dyDescent="0.3">
      <c r="C1972" s="1"/>
      <c r="D1972" s="1"/>
    </row>
    <row r="1973" spans="3:4" x14ac:dyDescent="0.3">
      <c r="C1973" s="1"/>
      <c r="D1973" s="1"/>
    </row>
    <row r="1980" spans="3:4" x14ac:dyDescent="0.3">
      <c r="C1980" s="1"/>
      <c r="D1980" s="1"/>
    </row>
    <row r="1984" spans="3:4" x14ac:dyDescent="0.3">
      <c r="C1984" s="1"/>
      <c r="D1984" s="1"/>
    </row>
    <row r="1989" spans="3:4" x14ac:dyDescent="0.3">
      <c r="C1989" s="1"/>
    </row>
    <row r="1990" spans="3:4" x14ac:dyDescent="0.3">
      <c r="C1990" s="1"/>
    </row>
    <row r="1991" spans="3:4" x14ac:dyDescent="0.3">
      <c r="C1991" s="1"/>
    </row>
    <row r="1992" spans="3:4" x14ac:dyDescent="0.3">
      <c r="C1992" s="1"/>
    </row>
    <row r="1994" spans="3:4" x14ac:dyDescent="0.3">
      <c r="D1994" s="1"/>
    </row>
    <row r="1995" spans="3:4" x14ac:dyDescent="0.3">
      <c r="D1995" s="1"/>
    </row>
    <row r="1996" spans="3:4" x14ac:dyDescent="0.3">
      <c r="D1996" s="1"/>
    </row>
    <row r="1997" spans="3:4" x14ac:dyDescent="0.3">
      <c r="C1997" s="1"/>
      <c r="D1997" s="1"/>
    </row>
    <row r="1998" spans="3:4" x14ac:dyDescent="0.3">
      <c r="C1998" s="1"/>
      <c r="D1998" s="1"/>
    </row>
    <row r="1999" spans="3:4" x14ac:dyDescent="0.3">
      <c r="C1999" s="1"/>
      <c r="D1999" s="1"/>
    </row>
    <row r="2000" spans="3:4" x14ac:dyDescent="0.3">
      <c r="C2000" s="1"/>
      <c r="D2000" s="1"/>
    </row>
    <row r="2001" spans="3:4" x14ac:dyDescent="0.3">
      <c r="C2001" s="1"/>
      <c r="D2001" s="1"/>
    </row>
    <row r="2002" spans="3:4" x14ac:dyDescent="0.3">
      <c r="C2002" s="1"/>
    </row>
    <row r="2003" spans="3:4" x14ac:dyDescent="0.3">
      <c r="C2003" s="1"/>
    </row>
    <row r="2006" spans="3:4" x14ac:dyDescent="0.3">
      <c r="C2006" s="1"/>
    </row>
    <row r="2007" spans="3:4" x14ac:dyDescent="0.3">
      <c r="D2007" s="1"/>
    </row>
    <row r="2008" spans="3:4" x14ac:dyDescent="0.3">
      <c r="D2008" s="1"/>
    </row>
    <row r="2009" spans="3:4" x14ac:dyDescent="0.3">
      <c r="C2009" s="1"/>
      <c r="D2009" s="1"/>
    </row>
    <row r="2013" spans="3:4" x14ac:dyDescent="0.3">
      <c r="C2013" s="1"/>
      <c r="D2013" s="1"/>
    </row>
    <row r="2014" spans="3:4" x14ac:dyDescent="0.3">
      <c r="C2014" s="1"/>
      <c r="D2014" s="1"/>
    </row>
    <row r="2028" spans="3:4" x14ac:dyDescent="0.3">
      <c r="C2028" s="1"/>
      <c r="D2028" s="1"/>
    </row>
    <row r="2029" spans="3:4" x14ac:dyDescent="0.3">
      <c r="C2029" s="1"/>
      <c r="D2029" s="1"/>
    </row>
    <row r="2034" spans="3:4" x14ac:dyDescent="0.3">
      <c r="C2034" s="1"/>
    </row>
    <row r="2035" spans="3:4" x14ac:dyDescent="0.3">
      <c r="C2035" s="1"/>
    </row>
    <row r="2044" spans="3:4" x14ac:dyDescent="0.3">
      <c r="C2044" s="1"/>
      <c r="D2044" s="1"/>
    </row>
    <row r="2050" spans="3:4" x14ac:dyDescent="0.3">
      <c r="C2050" s="1"/>
    </row>
    <row r="2051" spans="3:4" x14ac:dyDescent="0.3">
      <c r="C2051" s="1"/>
    </row>
    <row r="2052" spans="3:4" x14ac:dyDescent="0.3">
      <c r="C2052" s="1"/>
    </row>
    <row r="2053" spans="3:4" x14ac:dyDescent="0.3">
      <c r="C2053" s="1"/>
    </row>
    <row r="2054" spans="3:4" x14ac:dyDescent="0.3">
      <c r="C2054" s="1"/>
    </row>
    <row r="2055" spans="3:4" x14ac:dyDescent="0.3">
      <c r="C2055" s="1"/>
    </row>
    <row r="2056" spans="3:4" x14ac:dyDescent="0.3">
      <c r="C2056" s="1"/>
      <c r="D2056" s="1"/>
    </row>
    <row r="2061" spans="3:4" x14ac:dyDescent="0.3">
      <c r="D2061" s="1"/>
    </row>
    <row r="2062" spans="3:4" x14ac:dyDescent="0.3">
      <c r="D2062" s="1"/>
    </row>
    <row r="2063" spans="3:4" x14ac:dyDescent="0.3">
      <c r="D2063" s="1"/>
    </row>
    <row r="2064" spans="3:4" x14ac:dyDescent="0.3">
      <c r="D2064" s="1"/>
    </row>
    <row r="2065" spans="3:4" x14ac:dyDescent="0.3">
      <c r="D2065" s="1"/>
    </row>
    <row r="2066" spans="3:4" x14ac:dyDescent="0.3">
      <c r="D2066" s="1"/>
    </row>
    <row r="2067" spans="3:4" x14ac:dyDescent="0.3">
      <c r="D2067" s="1"/>
    </row>
    <row r="2068" spans="3:4" x14ac:dyDescent="0.3">
      <c r="D2068" s="1"/>
    </row>
    <row r="2069" spans="3:4" x14ac:dyDescent="0.3">
      <c r="D2069" s="1"/>
    </row>
    <row r="2074" spans="3:4" x14ac:dyDescent="0.3">
      <c r="D2074" s="1"/>
    </row>
    <row r="2075" spans="3:4" x14ac:dyDescent="0.3">
      <c r="C2075" s="1"/>
      <c r="D2075" s="1"/>
    </row>
    <row r="2076" spans="3:4" x14ac:dyDescent="0.3">
      <c r="C2076" s="1"/>
      <c r="D2076" s="1"/>
    </row>
    <row r="2077" spans="3:4" x14ac:dyDescent="0.3">
      <c r="C2077" s="1"/>
      <c r="D2077" s="1"/>
    </row>
    <row r="2078" spans="3:4" x14ac:dyDescent="0.3">
      <c r="C2078" s="1"/>
    </row>
    <row r="2079" spans="3:4" x14ac:dyDescent="0.3">
      <c r="C2079" s="1"/>
    </row>
    <row r="2080" spans="3:4" x14ac:dyDescent="0.3">
      <c r="C2080" s="1"/>
    </row>
    <row r="2084" spans="4:4" x14ac:dyDescent="0.3">
      <c r="D2084" s="1"/>
    </row>
    <row r="2100" spans="3:4" x14ac:dyDescent="0.3">
      <c r="C2100" s="1"/>
      <c r="D2100" s="1"/>
    </row>
    <row r="2101" spans="3:4" x14ac:dyDescent="0.3">
      <c r="C2101" s="1"/>
      <c r="D2101" s="1"/>
    </row>
    <row r="2102" spans="3:4" x14ac:dyDescent="0.3">
      <c r="C2102" s="1"/>
    </row>
    <row r="2103" spans="3:4" x14ac:dyDescent="0.3">
      <c r="C2103" s="1"/>
    </row>
    <row r="2107" spans="3:4" x14ac:dyDescent="0.3">
      <c r="D2107" s="1"/>
    </row>
    <row r="2118" spans="3:4" x14ac:dyDescent="0.3">
      <c r="C2118" s="1"/>
    </row>
    <row r="2122" spans="3:4" x14ac:dyDescent="0.3">
      <c r="C2122" s="1"/>
    </row>
    <row r="2123" spans="3:4" x14ac:dyDescent="0.3">
      <c r="C2123" s="1"/>
      <c r="D2123" s="1"/>
    </row>
    <row r="2126" spans="3:4" x14ac:dyDescent="0.3">
      <c r="C2126" s="1"/>
      <c r="D2126" s="1"/>
    </row>
    <row r="2127" spans="3:4" x14ac:dyDescent="0.3">
      <c r="C2127" s="1"/>
      <c r="D2127" s="1"/>
    </row>
    <row r="2129" spans="3:4" x14ac:dyDescent="0.3">
      <c r="C2129" s="1"/>
      <c r="D2129" s="1"/>
    </row>
    <row r="2130" spans="3:4" x14ac:dyDescent="0.3">
      <c r="C2130" s="1"/>
      <c r="D2130" s="1"/>
    </row>
    <row r="2135" spans="3:4" x14ac:dyDescent="0.3">
      <c r="D2135" s="1"/>
    </row>
    <row r="2136" spans="3:4" x14ac:dyDescent="0.3">
      <c r="D2136" s="1"/>
    </row>
    <row r="2137" spans="3:4" x14ac:dyDescent="0.3">
      <c r="D2137" s="1"/>
    </row>
    <row r="2138" spans="3:4" x14ac:dyDescent="0.3">
      <c r="D2138" s="1"/>
    </row>
    <row r="2139" spans="3:4" x14ac:dyDescent="0.3">
      <c r="D2139" s="1"/>
    </row>
    <row r="2141" spans="3:4" x14ac:dyDescent="0.3">
      <c r="C2141" s="1"/>
      <c r="D2141" s="1"/>
    </row>
    <row r="2142" spans="3:4" x14ac:dyDescent="0.3">
      <c r="C2142" s="1"/>
      <c r="D2142" s="1"/>
    </row>
    <row r="2143" spans="3:4" x14ac:dyDescent="0.3">
      <c r="C2143" s="1"/>
      <c r="D2143" s="1"/>
    </row>
    <row r="2144" spans="3:4" x14ac:dyDescent="0.3">
      <c r="C2144" s="1"/>
      <c r="D2144" s="1"/>
    </row>
    <row r="2145" spans="3:4" x14ac:dyDescent="0.3">
      <c r="C2145" s="1"/>
      <c r="D2145" s="1"/>
    </row>
    <row r="2146" spans="3:4" x14ac:dyDescent="0.3">
      <c r="C2146" s="1"/>
      <c r="D2146" s="1"/>
    </row>
    <row r="2150" spans="3:4" x14ac:dyDescent="0.3">
      <c r="C2150" s="1"/>
    </row>
    <row r="2151" spans="3:4" x14ac:dyDescent="0.3">
      <c r="D2151" s="1"/>
    </row>
    <row r="2156" spans="3:4" x14ac:dyDescent="0.3">
      <c r="D2156" s="1"/>
    </row>
    <row r="2161" spans="3:4" x14ac:dyDescent="0.3">
      <c r="C2161" s="1"/>
      <c r="D2161" s="1"/>
    </row>
    <row r="2163" spans="3:4" x14ac:dyDescent="0.3">
      <c r="C2163" s="1"/>
      <c r="D2163" s="1"/>
    </row>
    <row r="2174" spans="3:4" x14ac:dyDescent="0.3">
      <c r="C2174" s="1"/>
      <c r="D2174" s="1"/>
    </row>
    <row r="2175" spans="3:4" x14ac:dyDescent="0.3">
      <c r="D2175" s="1"/>
    </row>
    <row r="2176" spans="3:4" x14ac:dyDescent="0.3">
      <c r="D2176" s="1"/>
    </row>
    <row r="2181" spans="3:4" x14ac:dyDescent="0.3">
      <c r="C2181" s="1"/>
      <c r="D2181" s="1"/>
    </row>
    <row r="2182" spans="3:4" x14ac:dyDescent="0.3">
      <c r="C2182" s="1"/>
      <c r="D2182" s="1"/>
    </row>
    <row r="2183" spans="3:4" x14ac:dyDescent="0.3">
      <c r="C2183" s="1"/>
      <c r="D2183" s="1"/>
    </row>
    <row r="2184" spans="3:4" x14ac:dyDescent="0.3">
      <c r="C2184" s="1"/>
      <c r="D2184" s="1"/>
    </row>
    <row r="2185" spans="3:4" x14ac:dyDescent="0.3">
      <c r="C2185" s="1"/>
      <c r="D2185" s="1"/>
    </row>
    <row r="2186" spans="3:4" x14ac:dyDescent="0.3">
      <c r="C2186" s="1"/>
      <c r="D2186" s="1"/>
    </row>
    <row r="2187" spans="3:4" x14ac:dyDescent="0.3">
      <c r="C2187" s="1"/>
      <c r="D2187" s="1"/>
    </row>
    <row r="2189" spans="3:4" x14ac:dyDescent="0.3">
      <c r="C2189" s="1"/>
    </row>
    <row r="2190" spans="3:4" x14ac:dyDescent="0.3">
      <c r="C2190" s="1"/>
    </row>
    <row r="2191" spans="3:4" x14ac:dyDescent="0.3">
      <c r="C2191" s="1"/>
    </row>
    <row r="2193" spans="3:4" x14ac:dyDescent="0.3">
      <c r="C2193" s="1"/>
    </row>
    <row r="2194" spans="3:4" x14ac:dyDescent="0.3">
      <c r="C2194" s="1"/>
    </row>
    <row r="2195" spans="3:4" x14ac:dyDescent="0.3">
      <c r="C2195" s="1"/>
    </row>
    <row r="2196" spans="3:4" x14ac:dyDescent="0.3">
      <c r="C2196" s="1"/>
    </row>
    <row r="2197" spans="3:4" x14ac:dyDescent="0.3">
      <c r="C2197" s="1"/>
    </row>
    <row r="2198" spans="3:4" x14ac:dyDescent="0.3">
      <c r="C2198" s="1"/>
      <c r="D2198" s="1"/>
    </row>
    <row r="2199" spans="3:4" x14ac:dyDescent="0.3">
      <c r="D2199" s="1"/>
    </row>
    <row r="2200" spans="3:4" x14ac:dyDescent="0.3">
      <c r="D2200" s="1"/>
    </row>
    <row r="2201" spans="3:4" x14ac:dyDescent="0.3">
      <c r="D2201" s="1"/>
    </row>
    <row r="2202" spans="3:4" x14ac:dyDescent="0.3">
      <c r="C2202" s="1"/>
      <c r="D2202" s="1"/>
    </row>
    <row r="2203" spans="3:4" x14ac:dyDescent="0.3">
      <c r="C2203" s="1"/>
      <c r="D2203" s="1"/>
    </row>
    <row r="2204" spans="3:4" x14ac:dyDescent="0.3">
      <c r="C2204" s="1"/>
      <c r="D2204" s="1"/>
    </row>
    <row r="2205" spans="3:4" x14ac:dyDescent="0.3">
      <c r="C2205" s="1"/>
      <c r="D2205" s="1"/>
    </row>
    <row r="2206" spans="3:4" x14ac:dyDescent="0.3">
      <c r="D2206" s="1"/>
    </row>
    <row r="2207" spans="3:4" x14ac:dyDescent="0.3">
      <c r="C2207" s="1"/>
      <c r="D2207" s="1"/>
    </row>
    <row r="2215" spans="3:4" x14ac:dyDescent="0.3">
      <c r="C2215" s="1"/>
      <c r="D2215" s="1"/>
    </row>
    <row r="2216" spans="3:4" x14ac:dyDescent="0.3">
      <c r="C2216" s="1"/>
      <c r="D2216" s="1"/>
    </row>
    <row r="2217" spans="3:4" x14ac:dyDescent="0.3">
      <c r="C2217" s="1"/>
      <c r="D2217" s="1"/>
    </row>
    <row r="2218" spans="3:4" x14ac:dyDescent="0.3">
      <c r="C2218" s="1"/>
      <c r="D2218" s="1"/>
    </row>
    <row r="2220" spans="3:4" x14ac:dyDescent="0.3">
      <c r="D2220" s="1"/>
    </row>
    <row r="2221" spans="3:4" x14ac:dyDescent="0.3">
      <c r="D2221" s="1"/>
    </row>
    <row r="2222" spans="3:4" x14ac:dyDescent="0.3">
      <c r="D2222" s="1"/>
    </row>
    <row r="2223" spans="3:4" x14ac:dyDescent="0.3">
      <c r="C2223" s="1"/>
      <c r="D2223" s="1"/>
    </row>
    <row r="2224" spans="3:4" x14ac:dyDescent="0.3">
      <c r="C2224" s="1"/>
      <c r="D2224" s="1"/>
    </row>
    <row r="2225" spans="3:4" x14ac:dyDescent="0.3">
      <c r="C2225" s="1"/>
      <c r="D2225" s="1"/>
    </row>
    <row r="2226" spans="3:4" x14ac:dyDescent="0.3">
      <c r="D2226" s="1"/>
    </row>
    <row r="2228" spans="3:4" x14ac:dyDescent="0.3">
      <c r="D2228" s="1"/>
    </row>
    <row r="2229" spans="3:4" x14ac:dyDescent="0.3">
      <c r="D2229" s="1"/>
    </row>
    <row r="2230" spans="3:4" x14ac:dyDescent="0.3">
      <c r="C2230" s="1"/>
      <c r="D2230" s="1"/>
    </row>
    <row r="2231" spans="3:4" x14ac:dyDescent="0.3">
      <c r="D2231" s="1"/>
    </row>
    <row r="2232" spans="3:4" x14ac:dyDescent="0.3">
      <c r="D2232" s="1"/>
    </row>
    <row r="2233" spans="3:4" x14ac:dyDescent="0.3">
      <c r="D2233" s="1"/>
    </row>
    <row r="2234" spans="3:4" x14ac:dyDescent="0.3">
      <c r="C2234" s="1"/>
    </row>
    <row r="2236" spans="3:4" x14ac:dyDescent="0.3">
      <c r="C2236" s="1"/>
      <c r="D2236" s="1"/>
    </row>
    <row r="2243" spans="4:4" x14ac:dyDescent="0.3">
      <c r="D2243" s="1"/>
    </row>
    <row r="2255" spans="4:4" x14ac:dyDescent="0.3">
      <c r="D2255" s="1"/>
    </row>
    <row r="2256" spans="4:4" x14ac:dyDescent="0.3">
      <c r="D2256" s="1"/>
    </row>
    <row r="2261" spans="3:4" x14ac:dyDescent="0.3">
      <c r="C2261" s="1"/>
      <c r="D2261" s="1"/>
    </row>
    <row r="2262" spans="3:4" x14ac:dyDescent="0.3">
      <c r="C2262" s="1"/>
      <c r="D2262" s="1"/>
    </row>
    <row r="2264" spans="3:4" x14ac:dyDescent="0.3">
      <c r="C2264" s="1"/>
      <c r="D2264" s="1"/>
    </row>
    <row r="2268" spans="3:4" x14ac:dyDescent="0.3">
      <c r="C2268" s="1"/>
      <c r="D2268" s="1"/>
    </row>
    <row r="2272" spans="3:4" x14ac:dyDescent="0.3">
      <c r="C2272" s="1"/>
      <c r="D2272" s="1"/>
    </row>
    <row r="2274" spans="3:4" x14ac:dyDescent="0.3">
      <c r="C2274" s="1"/>
      <c r="D2274" s="1"/>
    </row>
    <row r="2275" spans="3:4" x14ac:dyDescent="0.3">
      <c r="C2275" s="1"/>
      <c r="D2275" s="1"/>
    </row>
    <row r="2276" spans="3:4" x14ac:dyDescent="0.3">
      <c r="C2276" s="1"/>
      <c r="D2276" s="1"/>
    </row>
    <row r="2277" spans="3:4" x14ac:dyDescent="0.3">
      <c r="C2277" s="1"/>
      <c r="D2277" s="1"/>
    </row>
    <row r="2278" spans="3:4" x14ac:dyDescent="0.3">
      <c r="D2278" s="1"/>
    </row>
    <row r="2279" spans="3:4" x14ac:dyDescent="0.3">
      <c r="D2279" s="1"/>
    </row>
    <row r="2280" spans="3:4" x14ac:dyDescent="0.3">
      <c r="D2280" s="1"/>
    </row>
    <row r="2281" spans="3:4" x14ac:dyDescent="0.3">
      <c r="D2281" s="1"/>
    </row>
    <row r="2282" spans="3:4" x14ac:dyDescent="0.3">
      <c r="D2282" s="1"/>
    </row>
    <row r="2283" spans="3:4" x14ac:dyDescent="0.3">
      <c r="D2283" s="1"/>
    </row>
    <row r="2284" spans="3:4" x14ac:dyDescent="0.3">
      <c r="C2284" s="1"/>
      <c r="D2284" s="1"/>
    </row>
    <row r="2285" spans="3:4" x14ac:dyDescent="0.3">
      <c r="C2285" s="1"/>
      <c r="D2285" s="1"/>
    </row>
    <row r="2286" spans="3:4" x14ac:dyDescent="0.3">
      <c r="C2286" s="1"/>
      <c r="D2286" s="1"/>
    </row>
    <row r="2287" spans="3:4" x14ac:dyDescent="0.3">
      <c r="C2287" s="1"/>
      <c r="D2287" s="1"/>
    </row>
    <row r="2289" spans="3:4" x14ac:dyDescent="0.3">
      <c r="C2289" s="1"/>
      <c r="D2289" s="1"/>
    </row>
    <row r="2290" spans="3:4" x14ac:dyDescent="0.3">
      <c r="C2290" s="1"/>
    </row>
    <row r="2291" spans="3:4" x14ac:dyDescent="0.3">
      <c r="C2291" s="1"/>
      <c r="D2291" s="1"/>
    </row>
    <row r="2295" spans="3:4" x14ac:dyDescent="0.3">
      <c r="C2295" s="1"/>
      <c r="D2295" s="1"/>
    </row>
    <row r="2297" spans="3:4" x14ac:dyDescent="0.3">
      <c r="C2297" s="1"/>
      <c r="D2297" s="1"/>
    </row>
    <row r="2298" spans="3:4" x14ac:dyDescent="0.3">
      <c r="C2298" s="1"/>
      <c r="D2298" s="1"/>
    </row>
    <row r="2299" spans="3:4" x14ac:dyDescent="0.3">
      <c r="C2299" s="1"/>
      <c r="D2299" s="1"/>
    </row>
    <row r="2300" spans="3:4" x14ac:dyDescent="0.3">
      <c r="C2300" s="1"/>
      <c r="D2300" s="1"/>
    </row>
    <row r="2301" spans="3:4" x14ac:dyDescent="0.3">
      <c r="C2301" s="1"/>
      <c r="D2301" s="1"/>
    </row>
    <row r="2308" spans="3:4" x14ac:dyDescent="0.3">
      <c r="C2308" s="1"/>
      <c r="D2308" s="1"/>
    </row>
    <row r="2309" spans="3:4" x14ac:dyDescent="0.3">
      <c r="C2309" s="1"/>
      <c r="D2309" s="1"/>
    </row>
    <row r="2310" spans="3:4" x14ac:dyDescent="0.3">
      <c r="C2310" s="1"/>
      <c r="D2310" s="1"/>
    </row>
    <row r="2311" spans="3:4" x14ac:dyDescent="0.3">
      <c r="C2311" s="1"/>
      <c r="D2311" s="1"/>
    </row>
    <row r="2312" spans="3:4" x14ac:dyDescent="0.3">
      <c r="C2312" s="1"/>
      <c r="D2312" s="1"/>
    </row>
    <row r="2313" spans="3:4" x14ac:dyDescent="0.3">
      <c r="C2313" s="1"/>
      <c r="D2313" s="1"/>
    </row>
    <row r="2314" spans="3:4" x14ac:dyDescent="0.3">
      <c r="C2314" s="1"/>
      <c r="D2314" s="1"/>
    </row>
    <row r="2323" spans="4:4" x14ac:dyDescent="0.3">
      <c r="D2323" s="1"/>
    </row>
    <row r="2324" spans="4:4" x14ac:dyDescent="0.3">
      <c r="D2324" s="1"/>
    </row>
    <row r="2325" spans="4:4" x14ac:dyDescent="0.3">
      <c r="D2325" s="1"/>
    </row>
    <row r="2326" spans="4:4" x14ac:dyDescent="0.3">
      <c r="D2326" s="1"/>
    </row>
    <row r="2336" spans="4:4" x14ac:dyDescent="0.3">
      <c r="D2336" s="1"/>
    </row>
    <row r="2337" spans="3:4" x14ac:dyDescent="0.3">
      <c r="C2337" s="1"/>
      <c r="D2337" s="1"/>
    </row>
    <row r="2338" spans="3:4" x14ac:dyDescent="0.3">
      <c r="C2338" s="1"/>
      <c r="D2338" s="1"/>
    </row>
    <row r="2342" spans="3:4" x14ac:dyDescent="0.3">
      <c r="C2342" s="1"/>
    </row>
    <row r="2343" spans="3:4" x14ac:dyDescent="0.3">
      <c r="D2343" s="1"/>
    </row>
    <row r="2344" spans="3:4" x14ac:dyDescent="0.3">
      <c r="D2344" s="1"/>
    </row>
    <row r="2350" spans="3:4" x14ac:dyDescent="0.3">
      <c r="C2350" s="1"/>
      <c r="D2350" s="1"/>
    </row>
    <row r="2351" spans="3:4" x14ac:dyDescent="0.3">
      <c r="C2351" s="1"/>
      <c r="D2351" s="1"/>
    </row>
    <row r="2352" spans="3:4" x14ac:dyDescent="0.3">
      <c r="C2352" s="1"/>
      <c r="D2352" s="1"/>
    </row>
    <row r="2353" spans="3:4" x14ac:dyDescent="0.3">
      <c r="C2353" s="1"/>
      <c r="D2353" s="1"/>
    </row>
    <row r="2354" spans="3:4" x14ac:dyDescent="0.3">
      <c r="C2354" s="1"/>
      <c r="D2354" s="1"/>
    </row>
    <row r="2355" spans="3:4" x14ac:dyDescent="0.3">
      <c r="D2355" s="1"/>
    </row>
    <row r="2356" spans="3:4" x14ac:dyDescent="0.3">
      <c r="D2356" s="1"/>
    </row>
    <row r="2357" spans="3:4" x14ac:dyDescent="0.3">
      <c r="D2357" s="1"/>
    </row>
    <row r="2358" spans="3:4" x14ac:dyDescent="0.3">
      <c r="D2358" s="1"/>
    </row>
    <row r="2369" spans="3:4" x14ac:dyDescent="0.3">
      <c r="C2369" s="1"/>
    </row>
    <row r="2372" spans="3:4" x14ac:dyDescent="0.3">
      <c r="C2372" s="1"/>
      <c r="D2372" s="1"/>
    </row>
    <row r="2373" spans="3:4" x14ac:dyDescent="0.3">
      <c r="C2373" s="1"/>
      <c r="D2373" s="1"/>
    </row>
    <row r="2374" spans="3:4" x14ac:dyDescent="0.3">
      <c r="C2374" s="1"/>
      <c r="D2374" s="1"/>
    </row>
    <row r="2375" spans="3:4" x14ac:dyDescent="0.3">
      <c r="C2375" s="1"/>
      <c r="D2375" s="1"/>
    </row>
    <row r="2376" spans="3:4" x14ac:dyDescent="0.3">
      <c r="C2376" s="1"/>
      <c r="D2376" s="1"/>
    </row>
    <row r="2380" spans="3:4" x14ac:dyDescent="0.3">
      <c r="C2380" s="1"/>
      <c r="D2380" s="1"/>
    </row>
    <row r="2381" spans="3:4" x14ac:dyDescent="0.3">
      <c r="C2381" s="1"/>
      <c r="D2381" s="1"/>
    </row>
    <row r="2382" spans="3:4" x14ac:dyDescent="0.3">
      <c r="C2382" s="1"/>
      <c r="D2382" s="1"/>
    </row>
    <row r="2383" spans="3:4" x14ac:dyDescent="0.3">
      <c r="C2383" s="1"/>
      <c r="D2383" s="1"/>
    </row>
    <row r="2389" spans="3:4" x14ac:dyDescent="0.3">
      <c r="C2389" s="1"/>
    </row>
    <row r="2390" spans="3:4" x14ac:dyDescent="0.3">
      <c r="C2390" s="1"/>
    </row>
    <row r="2391" spans="3:4" x14ac:dyDescent="0.3">
      <c r="C2391" s="1"/>
      <c r="D2391" s="1"/>
    </row>
    <row r="2392" spans="3:4" x14ac:dyDescent="0.3">
      <c r="C2392" s="1"/>
      <c r="D2392" s="1"/>
    </row>
    <row r="2393" spans="3:4" x14ac:dyDescent="0.3">
      <c r="C2393" s="1"/>
      <c r="D2393" s="1"/>
    </row>
    <row r="2394" spans="3:4" x14ac:dyDescent="0.3">
      <c r="C2394" s="1"/>
      <c r="D2394" s="1"/>
    </row>
    <row r="2401" spans="3:4" x14ac:dyDescent="0.3">
      <c r="C2401" s="1"/>
    </row>
    <row r="2402" spans="3:4" x14ac:dyDescent="0.3">
      <c r="C2402" s="1"/>
    </row>
    <row r="2403" spans="3:4" x14ac:dyDescent="0.3">
      <c r="C2403" s="1"/>
      <c r="D2403" s="1"/>
    </row>
    <row r="2404" spans="3:4" x14ac:dyDescent="0.3">
      <c r="C2404" s="1"/>
      <c r="D2404" s="1"/>
    </row>
    <row r="2405" spans="3:4" x14ac:dyDescent="0.3">
      <c r="D2405" s="1"/>
    </row>
    <row r="2406" spans="3:4" x14ac:dyDescent="0.3">
      <c r="C2406" s="1"/>
      <c r="D2406" s="1"/>
    </row>
    <row r="2407" spans="3:4" x14ac:dyDescent="0.3">
      <c r="C2407" s="1"/>
      <c r="D2407" s="1"/>
    </row>
    <row r="2408" spans="3:4" x14ac:dyDescent="0.3">
      <c r="C2408" s="1"/>
      <c r="D2408" s="1"/>
    </row>
    <row r="2412" spans="3:4" x14ac:dyDescent="0.3">
      <c r="C2412" s="1"/>
      <c r="D2412" s="1"/>
    </row>
    <row r="2413" spans="3:4" x14ac:dyDescent="0.3">
      <c r="C2413" s="1"/>
      <c r="D2413" s="1"/>
    </row>
    <row r="2414" spans="3:4" x14ac:dyDescent="0.3">
      <c r="C2414" s="1"/>
    </row>
    <row r="2415" spans="3:4" x14ac:dyDescent="0.3">
      <c r="C2415" s="1"/>
    </row>
    <row r="2416" spans="3:4" x14ac:dyDescent="0.3">
      <c r="D2416" s="1"/>
    </row>
    <row r="2417" spans="3:4" x14ac:dyDescent="0.3">
      <c r="C2417" s="1"/>
      <c r="D2417" s="1"/>
    </row>
    <row r="2418" spans="3:4" x14ac:dyDescent="0.3">
      <c r="C2418" s="1"/>
    </row>
    <row r="2419" spans="3:4" x14ac:dyDescent="0.3">
      <c r="C2419" s="1"/>
    </row>
    <row r="2421" spans="3:4" x14ac:dyDescent="0.3">
      <c r="C2421" s="1"/>
    </row>
    <row r="2422" spans="3:4" x14ac:dyDescent="0.3">
      <c r="C2422" s="1"/>
    </row>
    <row r="2429" spans="3:4" x14ac:dyDescent="0.3">
      <c r="C2429" s="1"/>
    </row>
    <row r="2430" spans="3:4" x14ac:dyDescent="0.3">
      <c r="C2430" s="1"/>
    </row>
    <row r="2431" spans="3:4" x14ac:dyDescent="0.3">
      <c r="C2431" s="1"/>
    </row>
    <row r="2433" spans="3:4" x14ac:dyDescent="0.3">
      <c r="D2433" s="1"/>
    </row>
    <row r="2434" spans="3:4" x14ac:dyDescent="0.3">
      <c r="D2434" s="1"/>
    </row>
    <row r="2435" spans="3:4" x14ac:dyDescent="0.3">
      <c r="D2435" s="1"/>
    </row>
    <row r="2438" spans="3:4" x14ac:dyDescent="0.3">
      <c r="C2438" s="1"/>
      <c r="D2438" s="1"/>
    </row>
    <row r="2448" spans="3:4" x14ac:dyDescent="0.3">
      <c r="D2448" s="1"/>
    </row>
    <row r="2449" spans="3:4" x14ac:dyDescent="0.3">
      <c r="D2449" s="1"/>
    </row>
    <row r="2451" spans="3:4" x14ac:dyDescent="0.3">
      <c r="C2451" s="1"/>
      <c r="D2451" s="1"/>
    </row>
    <row r="2462" spans="3:4" x14ac:dyDescent="0.3">
      <c r="C2462" s="1"/>
    </row>
    <row r="2463" spans="3:4" x14ac:dyDescent="0.3">
      <c r="C2463" s="1"/>
    </row>
    <row r="2464" spans="3:4" x14ac:dyDescent="0.3">
      <c r="C2464" s="1"/>
      <c r="D2464" s="1"/>
    </row>
    <row r="2465" spans="3:4" x14ac:dyDescent="0.3">
      <c r="C2465" s="1"/>
      <c r="D2465" s="1"/>
    </row>
    <row r="2466" spans="3:4" x14ac:dyDescent="0.3">
      <c r="C2466" s="1"/>
      <c r="D2466" s="1"/>
    </row>
    <row r="2467" spans="3:4" x14ac:dyDescent="0.3">
      <c r="C2467" s="1"/>
      <c r="D2467" s="1"/>
    </row>
    <row r="2468" spans="3:4" x14ac:dyDescent="0.3">
      <c r="C2468" s="1"/>
      <c r="D2468" s="1"/>
    </row>
    <row r="2469" spans="3:4" x14ac:dyDescent="0.3">
      <c r="C2469" s="1"/>
      <c r="D2469" s="1"/>
    </row>
    <row r="2470" spans="3:4" x14ac:dyDescent="0.3">
      <c r="C2470" s="1"/>
      <c r="D2470" s="1"/>
    </row>
    <row r="2471" spans="3:4" x14ac:dyDescent="0.3">
      <c r="C2471" s="1"/>
      <c r="D2471" s="1"/>
    </row>
    <row r="2475" spans="3:4" x14ac:dyDescent="0.3">
      <c r="C2475" s="1"/>
      <c r="D2475" s="1"/>
    </row>
    <row r="2476" spans="3:4" x14ac:dyDescent="0.3">
      <c r="C2476" s="1"/>
      <c r="D2476" s="1"/>
    </row>
    <row r="2477" spans="3:4" x14ac:dyDescent="0.3">
      <c r="C2477" s="1"/>
      <c r="D2477" s="1"/>
    </row>
    <row r="2478" spans="3:4" x14ac:dyDescent="0.3">
      <c r="C2478" s="1"/>
      <c r="D2478" s="1"/>
    </row>
    <row r="2479" spans="3:4" x14ac:dyDescent="0.3">
      <c r="C2479" s="1"/>
      <c r="D2479" s="1"/>
    </row>
    <row r="2484" spans="3:4" x14ac:dyDescent="0.3">
      <c r="D2484" s="1"/>
    </row>
    <row r="2485" spans="3:4" x14ac:dyDescent="0.3">
      <c r="D2485" s="1"/>
    </row>
    <row r="2486" spans="3:4" x14ac:dyDescent="0.3">
      <c r="D2486" s="1"/>
    </row>
    <row r="2487" spans="3:4" x14ac:dyDescent="0.3">
      <c r="D2487" s="1"/>
    </row>
    <row r="2488" spans="3:4" x14ac:dyDescent="0.3">
      <c r="C2488" s="1"/>
      <c r="D2488" s="1"/>
    </row>
    <row r="2489" spans="3:4" x14ac:dyDescent="0.3">
      <c r="C2489" s="1"/>
      <c r="D2489" s="1"/>
    </row>
    <row r="2490" spans="3:4" x14ac:dyDescent="0.3">
      <c r="C2490" s="1"/>
      <c r="D2490" s="1"/>
    </row>
    <row r="2491" spans="3:4" x14ac:dyDescent="0.3">
      <c r="C2491" s="1"/>
    </row>
    <row r="2492" spans="3:4" x14ac:dyDescent="0.3">
      <c r="C2492" s="1"/>
    </row>
    <row r="2495" spans="3:4" x14ac:dyDescent="0.3">
      <c r="C2495" s="1"/>
    </row>
    <row r="2496" spans="3:4" x14ac:dyDescent="0.3">
      <c r="C2496" s="1"/>
    </row>
    <row r="2498" spans="3:4" x14ac:dyDescent="0.3">
      <c r="D2498" s="1"/>
    </row>
    <row r="2499" spans="3:4" x14ac:dyDescent="0.3">
      <c r="D2499" s="1"/>
    </row>
    <row r="2509" spans="3:4" x14ac:dyDescent="0.3">
      <c r="C2509" s="1"/>
      <c r="D2509" s="1"/>
    </row>
    <row r="2510" spans="3:4" x14ac:dyDescent="0.3">
      <c r="C2510" s="1"/>
      <c r="D2510" s="1"/>
    </row>
    <row r="2511" spans="3:4" x14ac:dyDescent="0.3">
      <c r="C2511" s="1"/>
      <c r="D2511" s="1"/>
    </row>
    <row r="2514" spans="3:4" x14ac:dyDescent="0.3">
      <c r="C2514" s="1"/>
      <c r="D2514" s="1"/>
    </row>
    <row r="2515" spans="3:4" x14ac:dyDescent="0.3">
      <c r="C2515" s="1"/>
    </row>
    <row r="2516" spans="3:4" x14ac:dyDescent="0.3">
      <c r="C2516" s="1"/>
    </row>
    <row r="2517" spans="3:4" x14ac:dyDescent="0.3">
      <c r="C2517" s="1"/>
      <c r="D2517" s="1"/>
    </row>
    <row r="2519" spans="3:4" x14ac:dyDescent="0.3">
      <c r="C2519" s="1"/>
      <c r="D2519" s="1"/>
    </row>
    <row r="2526" spans="3:4" x14ac:dyDescent="0.3">
      <c r="C2526" s="1"/>
      <c r="D2526" s="1"/>
    </row>
    <row r="2527" spans="3:4" x14ac:dyDescent="0.3">
      <c r="C2527" s="1"/>
      <c r="D2527" s="1"/>
    </row>
    <row r="2528" spans="3:4" x14ac:dyDescent="0.3">
      <c r="C2528" s="1"/>
      <c r="D2528" s="1"/>
    </row>
    <row r="2529" spans="3:4" x14ac:dyDescent="0.3">
      <c r="C2529" s="1"/>
      <c r="D2529" s="1"/>
    </row>
    <row r="2530" spans="3:4" x14ac:dyDescent="0.3">
      <c r="C2530" s="1"/>
      <c r="D2530" s="1"/>
    </row>
    <row r="2537" spans="3:4" x14ac:dyDescent="0.3">
      <c r="C2537" s="1"/>
      <c r="D2537" s="1"/>
    </row>
    <row r="2543" spans="3:4" x14ac:dyDescent="0.3">
      <c r="D2543" s="1"/>
    </row>
    <row r="2544" spans="3:4" x14ac:dyDescent="0.3">
      <c r="D2544" s="1"/>
    </row>
    <row r="2545" spans="3:4" x14ac:dyDescent="0.3">
      <c r="C2545" s="1"/>
    </row>
    <row r="2546" spans="3:4" x14ac:dyDescent="0.3">
      <c r="C2546" s="1"/>
    </row>
    <row r="2558" spans="3:4" x14ac:dyDescent="0.3">
      <c r="C2558" s="1"/>
    </row>
    <row r="2560" spans="3:4" x14ac:dyDescent="0.3">
      <c r="D2560" s="1"/>
    </row>
    <row r="2561" spans="3:4" x14ac:dyDescent="0.3">
      <c r="D2561" s="1"/>
    </row>
    <row r="2562" spans="3:4" x14ac:dyDescent="0.3">
      <c r="D2562" s="1"/>
    </row>
    <row r="2568" spans="3:4" x14ac:dyDescent="0.3">
      <c r="C2568" s="1"/>
      <c r="D2568" s="1"/>
    </row>
    <row r="2569" spans="3:4" x14ac:dyDescent="0.3">
      <c r="C2569" s="1"/>
      <c r="D2569" s="1"/>
    </row>
    <row r="2570" spans="3:4" x14ac:dyDescent="0.3">
      <c r="C2570" s="1"/>
      <c r="D2570" s="1"/>
    </row>
    <row r="2574" spans="3:4" x14ac:dyDescent="0.3">
      <c r="C2574" s="1"/>
    </row>
    <row r="2575" spans="3:4" x14ac:dyDescent="0.3">
      <c r="C2575" s="1"/>
    </row>
    <row r="2587" spans="3:4" x14ac:dyDescent="0.3">
      <c r="C2587" s="1"/>
      <c r="D2587" s="1"/>
    </row>
    <row r="2588" spans="3:4" x14ac:dyDescent="0.3">
      <c r="D2588" s="1"/>
    </row>
    <row r="2589" spans="3:4" x14ac:dyDescent="0.3">
      <c r="D2589" s="1"/>
    </row>
    <row r="2590" spans="3:4" x14ac:dyDescent="0.3">
      <c r="C2590" s="1"/>
      <c r="D2590" s="1"/>
    </row>
    <row r="2591" spans="3:4" x14ac:dyDescent="0.3">
      <c r="C2591" s="1"/>
      <c r="D2591" s="1"/>
    </row>
    <row r="2592" spans="3:4" x14ac:dyDescent="0.3">
      <c r="C2592" s="1"/>
    </row>
    <row r="2593" spans="3:4" x14ac:dyDescent="0.3">
      <c r="C2593" s="1"/>
    </row>
    <row r="2603" spans="3:4" x14ac:dyDescent="0.3">
      <c r="C2603" s="1"/>
      <c r="D2603" s="1"/>
    </row>
    <row r="2604" spans="3:4" x14ac:dyDescent="0.3">
      <c r="C2604" s="1"/>
      <c r="D2604" s="1"/>
    </row>
    <row r="2605" spans="3:4" x14ac:dyDescent="0.3">
      <c r="C2605" s="1"/>
      <c r="D2605" s="1"/>
    </row>
    <row r="2606" spans="3:4" x14ac:dyDescent="0.3">
      <c r="C2606" s="1"/>
      <c r="D2606" s="1"/>
    </row>
    <row r="2608" spans="3:4" x14ac:dyDescent="0.3">
      <c r="C2608" s="1"/>
      <c r="D2608" s="1"/>
    </row>
    <row r="2615" spans="3:4" x14ac:dyDescent="0.3">
      <c r="D2615" s="1"/>
    </row>
    <row r="2616" spans="3:4" x14ac:dyDescent="0.3">
      <c r="D2616" s="1"/>
    </row>
    <row r="2617" spans="3:4" x14ac:dyDescent="0.3">
      <c r="D2617" s="1"/>
    </row>
    <row r="2618" spans="3:4" x14ac:dyDescent="0.3">
      <c r="C2618" s="1"/>
      <c r="D2618" s="1"/>
    </row>
    <row r="2619" spans="3:4" x14ac:dyDescent="0.3">
      <c r="C2619" s="1"/>
      <c r="D2619" s="1"/>
    </row>
    <row r="2624" spans="3:4" x14ac:dyDescent="0.3">
      <c r="C2624" s="1"/>
      <c r="D2624" s="1"/>
    </row>
    <row r="2632" spans="3:4" x14ac:dyDescent="0.3">
      <c r="C2632" s="1"/>
    </row>
    <row r="2636" spans="3:4" x14ac:dyDescent="0.3">
      <c r="C2636" s="1"/>
      <c r="D2636" s="1"/>
    </row>
    <row r="2637" spans="3:4" x14ac:dyDescent="0.3">
      <c r="C2637" s="1"/>
      <c r="D2637" s="1"/>
    </row>
    <row r="2639" spans="3:4" x14ac:dyDescent="0.3">
      <c r="C2639" s="1"/>
    </row>
    <row r="2640" spans="3:4" x14ac:dyDescent="0.3">
      <c r="C2640" s="1"/>
    </row>
    <row r="2641" spans="3:4" x14ac:dyDescent="0.3">
      <c r="C2641" s="1"/>
    </row>
    <row r="2642" spans="3:4" x14ac:dyDescent="0.3">
      <c r="C2642" s="1"/>
    </row>
    <row r="2647" spans="3:4" x14ac:dyDescent="0.3">
      <c r="C2647" s="1"/>
      <c r="D2647" s="1"/>
    </row>
    <row r="2648" spans="3:4" x14ac:dyDescent="0.3">
      <c r="C2648" s="1"/>
      <c r="D2648" s="1"/>
    </row>
    <row r="2649" spans="3:4" x14ac:dyDescent="0.3">
      <c r="C2649" s="1"/>
      <c r="D2649" s="1"/>
    </row>
    <row r="2650" spans="3:4" x14ac:dyDescent="0.3">
      <c r="C2650" s="1"/>
      <c r="D2650" s="1"/>
    </row>
    <row r="2651" spans="3:4" x14ac:dyDescent="0.3">
      <c r="C2651" s="1"/>
      <c r="D2651" s="1"/>
    </row>
    <row r="2652" spans="3:4" x14ac:dyDescent="0.3">
      <c r="D2652" s="1"/>
    </row>
    <row r="2662" spans="3:4" x14ac:dyDescent="0.3">
      <c r="D2662" s="1"/>
    </row>
    <row r="2663" spans="3:4" x14ac:dyDescent="0.3">
      <c r="D2663" s="1"/>
    </row>
    <row r="2665" spans="3:4" x14ac:dyDescent="0.3">
      <c r="C2665" s="1"/>
      <c r="D2665" s="1"/>
    </row>
    <row r="2666" spans="3:4" x14ac:dyDescent="0.3">
      <c r="C2666" s="1"/>
      <c r="D2666" s="1"/>
    </row>
    <row r="2667" spans="3:4" x14ac:dyDescent="0.3">
      <c r="C2667" s="1"/>
      <c r="D2667" s="1"/>
    </row>
    <row r="2668" spans="3:4" x14ac:dyDescent="0.3">
      <c r="C2668" s="1"/>
      <c r="D2668" s="1"/>
    </row>
    <row r="2669" spans="3:4" x14ac:dyDescent="0.3">
      <c r="C2669" s="1"/>
      <c r="D2669" s="1"/>
    </row>
    <row r="2672" spans="3:4" x14ac:dyDescent="0.3">
      <c r="C2672" s="1"/>
      <c r="D2672" s="1"/>
    </row>
    <row r="2673" spans="3:4" x14ac:dyDescent="0.3">
      <c r="C2673" s="1"/>
      <c r="D2673" s="1"/>
    </row>
    <row r="2674" spans="3:4" x14ac:dyDescent="0.3">
      <c r="C2674" s="1"/>
      <c r="D2674" s="1"/>
    </row>
    <row r="2675" spans="3:4" x14ac:dyDescent="0.3">
      <c r="C2675" s="1"/>
      <c r="D2675" s="1"/>
    </row>
    <row r="2676" spans="3:4" x14ac:dyDescent="0.3">
      <c r="C2676" s="1"/>
      <c r="D2676" s="1"/>
    </row>
    <row r="2677" spans="3:4" x14ac:dyDescent="0.3">
      <c r="D2677" s="1"/>
    </row>
    <row r="2678" spans="3:4" x14ac:dyDescent="0.3">
      <c r="D2678" s="1"/>
    </row>
    <row r="2686" spans="3:4" x14ac:dyDescent="0.3">
      <c r="D2686" s="1"/>
    </row>
    <row r="2687" spans="3:4" x14ac:dyDescent="0.3">
      <c r="C2687" s="1"/>
      <c r="D2687" s="1"/>
    </row>
    <row r="2688" spans="3:4" x14ac:dyDescent="0.3">
      <c r="C2688" s="1"/>
      <c r="D2688" s="1"/>
    </row>
    <row r="2689" spans="3:4" x14ac:dyDescent="0.3">
      <c r="C2689" s="1"/>
      <c r="D2689" s="1"/>
    </row>
    <row r="2690" spans="3:4" x14ac:dyDescent="0.3">
      <c r="C2690" s="1"/>
    </row>
    <row r="2691" spans="3:4" x14ac:dyDescent="0.3">
      <c r="D2691" s="1"/>
    </row>
    <row r="2692" spans="3:4" x14ac:dyDescent="0.3">
      <c r="C2692" s="1"/>
      <c r="D2692" s="1"/>
    </row>
    <row r="2693" spans="3:4" x14ac:dyDescent="0.3">
      <c r="D2693" s="1"/>
    </row>
    <row r="2694" spans="3:4" x14ac:dyDescent="0.3">
      <c r="D2694" s="1"/>
    </row>
    <row r="2697" spans="3:4" x14ac:dyDescent="0.3">
      <c r="C2697" s="1"/>
      <c r="D2697" s="1"/>
    </row>
    <row r="2706" spans="3:4" x14ac:dyDescent="0.3">
      <c r="C2706" s="1"/>
    </row>
    <row r="2710" spans="3:4" x14ac:dyDescent="0.3">
      <c r="D2710" s="1"/>
    </row>
    <row r="2711" spans="3:4" x14ac:dyDescent="0.3">
      <c r="D2711" s="1"/>
    </row>
    <row r="2712" spans="3:4" x14ac:dyDescent="0.3">
      <c r="C2712" s="1"/>
    </row>
    <row r="2713" spans="3:4" x14ac:dyDescent="0.3">
      <c r="C2713" s="1"/>
      <c r="D2713" s="1"/>
    </row>
    <row r="2714" spans="3:4" x14ac:dyDescent="0.3">
      <c r="D2714" s="1"/>
    </row>
    <row r="2716" spans="3:4" x14ac:dyDescent="0.3">
      <c r="C2716" s="1"/>
      <c r="D2716" s="1"/>
    </row>
    <row r="2717" spans="3:4" x14ac:dyDescent="0.3">
      <c r="C2717" s="1"/>
      <c r="D2717" s="1"/>
    </row>
    <row r="2718" spans="3:4" x14ac:dyDescent="0.3">
      <c r="D2718" s="1"/>
    </row>
    <row r="2719" spans="3:4" x14ac:dyDescent="0.3">
      <c r="C2719" s="1"/>
    </row>
    <row r="2721" spans="3:4" x14ac:dyDescent="0.3">
      <c r="C2721" s="1"/>
      <c r="D2721" s="1"/>
    </row>
    <row r="2722" spans="3:4" x14ac:dyDescent="0.3">
      <c r="C2722" s="1"/>
      <c r="D2722" s="1"/>
    </row>
    <row r="2723" spans="3:4" x14ac:dyDescent="0.3">
      <c r="C2723" s="1"/>
      <c r="D2723" s="1"/>
    </row>
    <row r="2725" spans="3:4" x14ac:dyDescent="0.3">
      <c r="C2725" s="1"/>
      <c r="D2725" s="1"/>
    </row>
    <row r="2726" spans="3:4" x14ac:dyDescent="0.3">
      <c r="C2726" s="1"/>
      <c r="D2726" s="1"/>
    </row>
    <row r="2727" spans="3:4" x14ac:dyDescent="0.3">
      <c r="C2727" s="1"/>
    </row>
    <row r="2728" spans="3:4" x14ac:dyDescent="0.3">
      <c r="C2728" s="1"/>
    </row>
    <row r="2734" spans="3:4" x14ac:dyDescent="0.3">
      <c r="C2734" s="1"/>
      <c r="D2734" s="1"/>
    </row>
    <row r="2735" spans="3:4" x14ac:dyDescent="0.3">
      <c r="C2735" s="1"/>
      <c r="D2735" s="1"/>
    </row>
    <row r="2744" spans="3:4" x14ac:dyDescent="0.3">
      <c r="C2744" s="1"/>
      <c r="D2744" s="1"/>
    </row>
    <row r="2747" spans="3:4" x14ac:dyDescent="0.3">
      <c r="C2747" s="1"/>
      <c r="D2747" s="1"/>
    </row>
    <row r="2748" spans="3:4" x14ac:dyDescent="0.3">
      <c r="C2748" s="1"/>
    </row>
    <row r="2750" spans="3:4" x14ac:dyDescent="0.3">
      <c r="C2750" s="1"/>
      <c r="D2750" s="1"/>
    </row>
    <row r="2751" spans="3:4" x14ac:dyDescent="0.3">
      <c r="C2751" s="1"/>
    </row>
    <row r="2752" spans="3:4" x14ac:dyDescent="0.3">
      <c r="C2752" s="1"/>
      <c r="D2752" s="1"/>
    </row>
    <row r="2759" spans="3:3" x14ac:dyDescent="0.3">
      <c r="C2759" s="1"/>
    </row>
    <row r="2760" spans="3:3" x14ac:dyDescent="0.3">
      <c r="C2760" s="1"/>
    </row>
    <row r="2761" spans="3:3" x14ac:dyDescent="0.3">
      <c r="C2761" s="1"/>
    </row>
    <row r="2763" spans="3:3" x14ac:dyDescent="0.3">
      <c r="C2763" s="1"/>
    </row>
    <row r="2764" spans="3:3" x14ac:dyDescent="0.3">
      <c r="C2764" s="1"/>
    </row>
    <row r="2770" spans="3:4" x14ac:dyDescent="0.3">
      <c r="C2770" s="1"/>
      <c r="D2770" s="1"/>
    </row>
    <row r="2771" spans="3:4" x14ac:dyDescent="0.3">
      <c r="C2771" s="1"/>
      <c r="D2771" s="1"/>
    </row>
    <row r="2772" spans="3:4" x14ac:dyDescent="0.3">
      <c r="C2772" s="1"/>
      <c r="D2772" s="1"/>
    </row>
    <row r="2773" spans="3:4" x14ac:dyDescent="0.3">
      <c r="C2773" s="1"/>
      <c r="D2773" s="1"/>
    </row>
    <row r="2774" spans="3:4" x14ac:dyDescent="0.3">
      <c r="C2774" s="1"/>
      <c r="D2774" s="1"/>
    </row>
    <row r="2776" spans="3:4" x14ac:dyDescent="0.3">
      <c r="C2776" s="1"/>
    </row>
    <row r="2780" spans="3:4" x14ac:dyDescent="0.3">
      <c r="D2780" s="1"/>
    </row>
    <row r="2781" spans="3:4" x14ac:dyDescent="0.3">
      <c r="D2781" s="1"/>
    </row>
    <row r="2782" spans="3:4" x14ac:dyDescent="0.3">
      <c r="C2782" s="1"/>
      <c r="D2782" s="1"/>
    </row>
    <row r="2784" spans="3:4" x14ac:dyDescent="0.3">
      <c r="C2784" s="1"/>
    </row>
    <row r="2785" spans="3:4" x14ac:dyDescent="0.3">
      <c r="C2785" s="1"/>
      <c r="D2785" s="1"/>
    </row>
    <row r="2786" spans="3:4" x14ac:dyDescent="0.3">
      <c r="C2786" s="1"/>
    </row>
    <row r="2789" spans="3:4" x14ac:dyDescent="0.3">
      <c r="C2789" s="1"/>
      <c r="D2789" s="1"/>
    </row>
    <row r="2790" spans="3:4" x14ac:dyDescent="0.3">
      <c r="C2790" s="1"/>
      <c r="D2790" s="1"/>
    </row>
    <row r="2791" spans="3:4" x14ac:dyDescent="0.3">
      <c r="C2791" s="1"/>
      <c r="D2791" s="1"/>
    </row>
    <row r="2795" spans="3:4" x14ac:dyDescent="0.3">
      <c r="C2795" s="1"/>
    </row>
    <row r="2796" spans="3:4" x14ac:dyDescent="0.3">
      <c r="C2796" s="1"/>
    </row>
    <row r="2797" spans="3:4" x14ac:dyDescent="0.3">
      <c r="C2797" s="1"/>
    </row>
    <row r="2798" spans="3:4" x14ac:dyDescent="0.3">
      <c r="C2798" s="1"/>
    </row>
    <row r="2803" spans="3:4" x14ac:dyDescent="0.3">
      <c r="C2803" s="1"/>
      <c r="D2803" s="1"/>
    </row>
    <row r="2804" spans="3:4" x14ac:dyDescent="0.3">
      <c r="C2804" s="1"/>
      <c r="D2804" s="1"/>
    </row>
    <row r="2805" spans="3:4" x14ac:dyDescent="0.3">
      <c r="C2805" s="1"/>
    </row>
    <row r="2806" spans="3:4" x14ac:dyDescent="0.3">
      <c r="C2806" s="1"/>
    </row>
    <row r="2807" spans="3:4" x14ac:dyDescent="0.3">
      <c r="C2807" s="1"/>
      <c r="D2807" s="1"/>
    </row>
    <row r="2817" spans="3:4" x14ac:dyDescent="0.3">
      <c r="C2817" s="1"/>
      <c r="D2817" s="1"/>
    </row>
    <row r="2818" spans="3:4" x14ac:dyDescent="0.3">
      <c r="C2818" s="1"/>
      <c r="D2818" s="1"/>
    </row>
    <row r="2819" spans="3:4" x14ac:dyDescent="0.3">
      <c r="C2819" s="1"/>
      <c r="D2819" s="1"/>
    </row>
    <row r="2820" spans="3:4" x14ac:dyDescent="0.3">
      <c r="C2820" s="1"/>
      <c r="D2820" s="1"/>
    </row>
    <row r="2821" spans="3:4" x14ac:dyDescent="0.3">
      <c r="C2821" s="1"/>
      <c r="D2821" s="1"/>
    </row>
    <row r="2822" spans="3:4" x14ac:dyDescent="0.3">
      <c r="C2822" s="1"/>
      <c r="D2822" s="1"/>
    </row>
    <row r="2823" spans="3:4" x14ac:dyDescent="0.3">
      <c r="D2823" s="1"/>
    </row>
    <row r="2833" spans="3:4" x14ac:dyDescent="0.3">
      <c r="C2833" s="1"/>
      <c r="D2833" s="1"/>
    </row>
    <row r="2834" spans="3:4" x14ac:dyDescent="0.3">
      <c r="C2834" s="1"/>
      <c r="D2834" s="1"/>
    </row>
    <row r="2837" spans="3:4" x14ac:dyDescent="0.3">
      <c r="C2837" s="1"/>
    </row>
    <row r="2838" spans="3:4" x14ac:dyDescent="0.3">
      <c r="C2838" s="1"/>
    </row>
    <row r="2839" spans="3:4" x14ac:dyDescent="0.3">
      <c r="C2839" s="1"/>
    </row>
    <row r="2840" spans="3:4" x14ac:dyDescent="0.3">
      <c r="C2840" s="1"/>
      <c r="D2840" s="1"/>
    </row>
    <row r="2841" spans="3:4" x14ac:dyDescent="0.3">
      <c r="C2841" s="1"/>
      <c r="D2841" s="1"/>
    </row>
    <row r="2843" spans="3:4" x14ac:dyDescent="0.3">
      <c r="D2843" s="1"/>
    </row>
    <row r="2848" spans="3:4" x14ac:dyDescent="0.3">
      <c r="C2848" s="1"/>
    </row>
    <row r="2849" spans="3:4" x14ac:dyDescent="0.3">
      <c r="C2849" s="1"/>
    </row>
    <row r="2850" spans="3:4" x14ac:dyDescent="0.3">
      <c r="C2850" s="1"/>
    </row>
    <row r="2851" spans="3:4" x14ac:dyDescent="0.3">
      <c r="D2851" s="1"/>
    </row>
    <row r="2852" spans="3:4" x14ac:dyDescent="0.3">
      <c r="C2852" s="1"/>
      <c r="D2852" s="1"/>
    </row>
    <row r="2864" spans="3:4" x14ac:dyDescent="0.3">
      <c r="C2864" s="1"/>
    </row>
    <row r="2869" spans="3:4" x14ac:dyDescent="0.3">
      <c r="C2869" s="1"/>
      <c r="D2869" s="1"/>
    </row>
    <row r="2870" spans="3:4" x14ac:dyDescent="0.3">
      <c r="C2870" s="1"/>
      <c r="D2870" s="1"/>
    </row>
    <row r="2871" spans="3:4" x14ac:dyDescent="0.3">
      <c r="C2871" s="1"/>
    </row>
    <row r="2885" spans="3:4" x14ac:dyDescent="0.3">
      <c r="C2885" s="1"/>
    </row>
    <row r="2886" spans="3:4" x14ac:dyDescent="0.3">
      <c r="D2886" s="1"/>
    </row>
    <row r="2891" spans="3:4" x14ac:dyDescent="0.3">
      <c r="C2891" s="1"/>
      <c r="D2891" s="1"/>
    </row>
    <row r="2892" spans="3:4" x14ac:dyDescent="0.3">
      <c r="D2892" s="1"/>
    </row>
    <row r="2893" spans="3:4" x14ac:dyDescent="0.3">
      <c r="D2893" s="1"/>
    </row>
    <row r="2898" spans="3:4" x14ac:dyDescent="0.3">
      <c r="D2898" s="1"/>
    </row>
    <row r="2899" spans="3:4" x14ac:dyDescent="0.3">
      <c r="C2899" s="1"/>
      <c r="D2899" s="1"/>
    </row>
    <row r="2901" spans="3:4" x14ac:dyDescent="0.3">
      <c r="C2901" s="1"/>
    </row>
    <row r="2902" spans="3:4" x14ac:dyDescent="0.3">
      <c r="C2902" s="1"/>
    </row>
    <row r="2903" spans="3:4" x14ac:dyDescent="0.3">
      <c r="C2903" s="1"/>
    </row>
    <row r="2904" spans="3:4" x14ac:dyDescent="0.3">
      <c r="C2904" s="1"/>
    </row>
    <row r="2905" spans="3:4" x14ac:dyDescent="0.3">
      <c r="D2905" s="1"/>
    </row>
    <row r="2906" spans="3:4" x14ac:dyDescent="0.3">
      <c r="D2906" s="1"/>
    </row>
    <row r="2908" spans="3:4" x14ac:dyDescent="0.3">
      <c r="C2908" s="1"/>
      <c r="D2908" s="1"/>
    </row>
    <row r="2909" spans="3:4" x14ac:dyDescent="0.3">
      <c r="C2909" s="1"/>
      <c r="D2909" s="1"/>
    </row>
    <row r="2910" spans="3:4" x14ac:dyDescent="0.3">
      <c r="C2910" s="1"/>
      <c r="D2910" s="1"/>
    </row>
    <row r="2912" spans="3:4" x14ac:dyDescent="0.3">
      <c r="C2912" s="1"/>
      <c r="D2912" s="1"/>
    </row>
    <row r="2916" spans="3:4" x14ac:dyDescent="0.3">
      <c r="C2916" s="1"/>
    </row>
    <row r="2917" spans="3:4" x14ac:dyDescent="0.3">
      <c r="C2917" s="1"/>
    </row>
    <row r="2918" spans="3:4" x14ac:dyDescent="0.3">
      <c r="C2918" s="1"/>
    </row>
    <row r="2924" spans="3:4" x14ac:dyDescent="0.3">
      <c r="D2924" s="1"/>
    </row>
    <row r="2925" spans="3:4" x14ac:dyDescent="0.3">
      <c r="D2925" s="1"/>
    </row>
    <row r="2926" spans="3:4" x14ac:dyDescent="0.3">
      <c r="C2926" s="1"/>
      <c r="D2926" s="1"/>
    </row>
    <row r="2927" spans="3:4" x14ac:dyDescent="0.3">
      <c r="C2927" s="1"/>
      <c r="D2927" s="1"/>
    </row>
    <row r="2928" spans="3:4" x14ac:dyDescent="0.3">
      <c r="C2928" s="1"/>
    </row>
    <row r="2929" spans="3:4" x14ac:dyDescent="0.3">
      <c r="C2929" s="1"/>
      <c r="D2929" s="1"/>
    </row>
    <row r="2932" spans="3:4" x14ac:dyDescent="0.3">
      <c r="C2932" s="1"/>
      <c r="D2932" s="1"/>
    </row>
    <row r="2933" spans="3:4" x14ac:dyDescent="0.3">
      <c r="C2933" s="1"/>
      <c r="D2933" s="1"/>
    </row>
    <row r="2934" spans="3:4" x14ac:dyDescent="0.3">
      <c r="C2934" s="1"/>
      <c r="D2934" s="1"/>
    </row>
    <row r="2935" spans="3:4" x14ac:dyDescent="0.3">
      <c r="C2935" s="1"/>
      <c r="D2935" s="1"/>
    </row>
    <row r="2936" spans="3:4" x14ac:dyDescent="0.3">
      <c r="C2936" s="1"/>
      <c r="D2936" s="1"/>
    </row>
    <row r="2937" spans="3:4" x14ac:dyDescent="0.3">
      <c r="C2937" s="1"/>
      <c r="D2937" s="1"/>
    </row>
    <row r="2938" spans="3:4" x14ac:dyDescent="0.3">
      <c r="C2938" s="1"/>
      <c r="D2938" s="1"/>
    </row>
    <row r="2939" spans="3:4" x14ac:dyDescent="0.3">
      <c r="C2939" s="1"/>
      <c r="D2939" s="1"/>
    </row>
    <row r="2940" spans="3:4" x14ac:dyDescent="0.3">
      <c r="C2940" s="1"/>
      <c r="D2940" s="1"/>
    </row>
    <row r="2941" spans="3:4" x14ac:dyDescent="0.3">
      <c r="C2941" s="1"/>
      <c r="D2941" s="1"/>
    </row>
    <row r="2947" spans="3:4" x14ac:dyDescent="0.3">
      <c r="C2947" s="1"/>
      <c r="D2947" s="1"/>
    </row>
    <row r="2951" spans="3:4" x14ac:dyDescent="0.3">
      <c r="C2951" s="1"/>
      <c r="D2951" s="1"/>
    </row>
    <row r="2952" spans="3:4" x14ac:dyDescent="0.3">
      <c r="C2952" s="1"/>
      <c r="D2952" s="1"/>
    </row>
    <row r="2953" spans="3:4" x14ac:dyDescent="0.3">
      <c r="C2953" s="1"/>
      <c r="D2953" s="1"/>
    </row>
    <row r="2954" spans="3:4" x14ac:dyDescent="0.3">
      <c r="C2954" s="1"/>
      <c r="D2954" s="1"/>
    </row>
    <row r="2955" spans="3:4" x14ac:dyDescent="0.3">
      <c r="C2955" s="1"/>
      <c r="D2955" s="1"/>
    </row>
    <row r="2956" spans="3:4" x14ac:dyDescent="0.3">
      <c r="C2956" s="1"/>
      <c r="D2956" s="1"/>
    </row>
    <row r="2958" spans="3:4" x14ac:dyDescent="0.3">
      <c r="D2958" s="1"/>
    </row>
    <row r="2959" spans="3:4" x14ac:dyDescent="0.3">
      <c r="C2959" s="1"/>
      <c r="D2959" s="1"/>
    </row>
    <row r="2962" spans="3:4" x14ac:dyDescent="0.3">
      <c r="D2962" s="1"/>
    </row>
    <row r="2963" spans="3:4" x14ac:dyDescent="0.3">
      <c r="D2963" s="1"/>
    </row>
    <row r="2970" spans="3:4" x14ac:dyDescent="0.3">
      <c r="C2970" s="1"/>
      <c r="D2970" s="1"/>
    </row>
    <row r="2971" spans="3:4" x14ac:dyDescent="0.3">
      <c r="C2971" s="1"/>
      <c r="D2971" s="1"/>
    </row>
    <row r="2972" spans="3:4" x14ac:dyDescent="0.3">
      <c r="C2972" s="1"/>
      <c r="D2972" s="1"/>
    </row>
    <row r="2973" spans="3:4" x14ac:dyDescent="0.3">
      <c r="C2973" s="1"/>
      <c r="D2973" s="1"/>
    </row>
    <row r="2974" spans="3:4" x14ac:dyDescent="0.3">
      <c r="C2974" s="1"/>
      <c r="D2974" s="1"/>
    </row>
    <row r="2976" spans="3:4" x14ac:dyDescent="0.3">
      <c r="C2976" s="1"/>
      <c r="D2976" s="1"/>
    </row>
    <row r="2977" spans="3:4" x14ac:dyDescent="0.3">
      <c r="C2977" s="1"/>
      <c r="D2977" s="1"/>
    </row>
    <row r="2978" spans="3:4" x14ac:dyDescent="0.3">
      <c r="C2978" s="1"/>
      <c r="D2978" s="1"/>
    </row>
    <row r="2979" spans="3:4" x14ac:dyDescent="0.3">
      <c r="C2979" s="1"/>
      <c r="D2979" s="1"/>
    </row>
    <row r="2981" spans="3:4" x14ac:dyDescent="0.3">
      <c r="C2981" s="1"/>
    </row>
    <row r="2982" spans="3:4" x14ac:dyDescent="0.3">
      <c r="C2982" s="1"/>
    </row>
    <row r="2983" spans="3:4" x14ac:dyDescent="0.3">
      <c r="C2983" s="1"/>
    </row>
    <row r="2984" spans="3:4" x14ac:dyDescent="0.3">
      <c r="C2984" s="1"/>
    </row>
    <row r="2985" spans="3:4" x14ac:dyDescent="0.3">
      <c r="C2985" s="1"/>
      <c r="D2985" s="1"/>
    </row>
    <row r="2986" spans="3:4" x14ac:dyDescent="0.3">
      <c r="C2986" s="1"/>
      <c r="D2986" s="1"/>
    </row>
    <row r="2994" spans="3:4" x14ac:dyDescent="0.3">
      <c r="C2994" s="1"/>
      <c r="D2994" s="1"/>
    </row>
    <row r="2995" spans="3:4" x14ac:dyDescent="0.3">
      <c r="C2995" s="1"/>
    </row>
    <row r="2996" spans="3:4" x14ac:dyDescent="0.3">
      <c r="C2996" s="1"/>
    </row>
    <row r="3004" spans="3:4" x14ac:dyDescent="0.3">
      <c r="C3004" s="1"/>
      <c r="D3004" s="1"/>
    </row>
    <row r="3006" spans="3:4" x14ac:dyDescent="0.3">
      <c r="C3006" s="1"/>
      <c r="D3006" s="1"/>
    </row>
    <row r="3010" spans="3:4" x14ac:dyDescent="0.3">
      <c r="C3010" s="1"/>
      <c r="D3010" s="1"/>
    </row>
    <row r="3021" spans="3:4" x14ac:dyDescent="0.3">
      <c r="C3021" s="1"/>
    </row>
    <row r="3022" spans="3:4" x14ac:dyDescent="0.3">
      <c r="C3022" s="1"/>
    </row>
    <row r="3023" spans="3:4" x14ac:dyDescent="0.3">
      <c r="C3023" s="1"/>
    </row>
    <row r="3024" spans="3:4" x14ac:dyDescent="0.3">
      <c r="C3024" s="1"/>
    </row>
    <row r="3026" spans="3:3" x14ac:dyDescent="0.3">
      <c r="C3026" s="1"/>
    </row>
    <row r="3027" spans="3:3" x14ac:dyDescent="0.3">
      <c r="C3027" s="1"/>
    </row>
    <row r="3036" spans="3:3" x14ac:dyDescent="0.3">
      <c r="C3036" s="1"/>
    </row>
    <row r="3037" spans="3:3" x14ac:dyDescent="0.3">
      <c r="C3037" s="1"/>
    </row>
    <row r="3038" spans="3:3" x14ac:dyDescent="0.3">
      <c r="C3038" s="1"/>
    </row>
    <row r="3039" spans="3:3" x14ac:dyDescent="0.3">
      <c r="C3039" s="1"/>
    </row>
    <row r="3040" spans="3:3" x14ac:dyDescent="0.3">
      <c r="C3040" s="1"/>
    </row>
    <row r="3041" spans="3:4" x14ac:dyDescent="0.3">
      <c r="C3041" s="1"/>
      <c r="D3041" s="1"/>
    </row>
    <row r="3042" spans="3:4" x14ac:dyDescent="0.3">
      <c r="C3042" s="1"/>
      <c r="D3042" s="1"/>
    </row>
    <row r="3043" spans="3:4" x14ac:dyDescent="0.3">
      <c r="C3043" s="1"/>
      <c r="D3043" s="1"/>
    </row>
    <row r="3044" spans="3:4" x14ac:dyDescent="0.3">
      <c r="C3044" s="1"/>
      <c r="D3044" s="1"/>
    </row>
    <row r="3045" spans="3:4" x14ac:dyDescent="0.3">
      <c r="C3045" s="1"/>
      <c r="D3045" s="1"/>
    </row>
    <row r="3046" spans="3:4" x14ac:dyDescent="0.3">
      <c r="D3046" s="1"/>
    </row>
    <row r="3047" spans="3:4" x14ac:dyDescent="0.3">
      <c r="C3047" s="1"/>
      <c r="D3047" s="1"/>
    </row>
    <row r="3048" spans="3:4" x14ac:dyDescent="0.3">
      <c r="C3048" s="1"/>
      <c r="D3048" s="1"/>
    </row>
    <row r="3049" spans="3:4" x14ac:dyDescent="0.3">
      <c r="D3049" s="1"/>
    </row>
    <row r="3050" spans="3:4" x14ac:dyDescent="0.3">
      <c r="C3050" s="1"/>
      <c r="D3050" s="1"/>
    </row>
    <row r="3051" spans="3:4" x14ac:dyDescent="0.3">
      <c r="C3051" s="1"/>
      <c r="D3051" s="1"/>
    </row>
    <row r="3052" spans="3:4" x14ac:dyDescent="0.3">
      <c r="C3052" s="1"/>
      <c r="D3052" s="1"/>
    </row>
    <row r="3053" spans="3:4" x14ac:dyDescent="0.3">
      <c r="C3053" s="1"/>
      <c r="D3053" s="1"/>
    </row>
    <row r="3054" spans="3:4" x14ac:dyDescent="0.3">
      <c r="C3054" s="1"/>
      <c r="D3054" s="1"/>
    </row>
    <row r="3055" spans="3:4" x14ac:dyDescent="0.3">
      <c r="C3055" s="1"/>
    </row>
    <row r="3056" spans="3:4" x14ac:dyDescent="0.3">
      <c r="C3056" s="1"/>
    </row>
    <row r="3057" spans="3:4" x14ac:dyDescent="0.3">
      <c r="D3057" s="1"/>
    </row>
    <row r="3062" spans="3:4" x14ac:dyDescent="0.3">
      <c r="C3062" s="1"/>
      <c r="D3062" s="1"/>
    </row>
    <row r="3063" spans="3:4" x14ac:dyDescent="0.3">
      <c r="C3063" s="1"/>
      <c r="D3063" s="1"/>
    </row>
    <row r="3075" spans="3:4" x14ac:dyDescent="0.3">
      <c r="C3075" s="1"/>
      <c r="D3075" s="1"/>
    </row>
    <row r="3076" spans="3:4" x14ac:dyDescent="0.3">
      <c r="C3076" s="1"/>
      <c r="D3076" s="1"/>
    </row>
    <row r="3081" spans="3:4" x14ac:dyDescent="0.3">
      <c r="C3081" s="1"/>
      <c r="D3081" s="1"/>
    </row>
    <row r="3082" spans="3:4" x14ac:dyDescent="0.3">
      <c r="C3082" s="1"/>
      <c r="D3082" s="1"/>
    </row>
    <row r="3083" spans="3:4" x14ac:dyDescent="0.3">
      <c r="D3083" s="1"/>
    </row>
    <row r="3084" spans="3:4" x14ac:dyDescent="0.3">
      <c r="D3084" s="1"/>
    </row>
    <row r="3085" spans="3:4" x14ac:dyDescent="0.3">
      <c r="D3085" s="1"/>
    </row>
    <row r="3086" spans="3:4" x14ac:dyDescent="0.3">
      <c r="C3086" s="1"/>
    </row>
    <row r="3087" spans="3:4" x14ac:dyDescent="0.3">
      <c r="C3087" s="1"/>
    </row>
    <row r="3088" spans="3:4" x14ac:dyDescent="0.3">
      <c r="C3088" s="1"/>
    </row>
    <row r="3089" spans="3:4" x14ac:dyDescent="0.3">
      <c r="C3089" s="1"/>
    </row>
    <row r="3090" spans="3:4" x14ac:dyDescent="0.3">
      <c r="D3090" s="1"/>
    </row>
    <row r="3091" spans="3:4" x14ac:dyDescent="0.3">
      <c r="D3091" s="1"/>
    </row>
    <row r="3092" spans="3:4" x14ac:dyDescent="0.3">
      <c r="C3092" s="1"/>
      <c r="D3092" s="1"/>
    </row>
    <row r="3093" spans="3:4" x14ac:dyDescent="0.3">
      <c r="C3093" s="1"/>
      <c r="D3093" s="1"/>
    </row>
    <row r="3094" spans="3:4" x14ac:dyDescent="0.3">
      <c r="C3094" s="1"/>
      <c r="D3094" s="1"/>
    </row>
    <row r="3099" spans="3:4" x14ac:dyDescent="0.3">
      <c r="D3099" s="1"/>
    </row>
    <row r="3100" spans="3:4" x14ac:dyDescent="0.3">
      <c r="D3100" s="1"/>
    </row>
    <row r="3105" spans="3:4" x14ac:dyDescent="0.3">
      <c r="C3105" s="1"/>
      <c r="D3105" s="1"/>
    </row>
    <row r="3108" spans="3:4" x14ac:dyDescent="0.3">
      <c r="C3108" s="1"/>
    </row>
    <row r="3120" spans="3:4" x14ac:dyDescent="0.3">
      <c r="C3120" s="1"/>
      <c r="D3120" s="1"/>
    </row>
    <row r="3121" spans="3:4" x14ac:dyDescent="0.3">
      <c r="C3121" s="1"/>
      <c r="D3121" s="1"/>
    </row>
    <row r="3122" spans="3:4" x14ac:dyDescent="0.3">
      <c r="C3122" s="1"/>
      <c r="D3122" s="1"/>
    </row>
    <row r="3123" spans="3:4" x14ac:dyDescent="0.3">
      <c r="C3123" s="1"/>
      <c r="D3123" s="1"/>
    </row>
    <row r="3124" spans="3:4" x14ac:dyDescent="0.3">
      <c r="C3124" s="1"/>
      <c r="D3124" s="1"/>
    </row>
    <row r="3125" spans="3:4" x14ac:dyDescent="0.3">
      <c r="C3125" s="1"/>
      <c r="D3125" s="1"/>
    </row>
    <row r="3126" spans="3:4" x14ac:dyDescent="0.3">
      <c r="C3126" s="1"/>
      <c r="D3126" s="1"/>
    </row>
    <row r="3127" spans="3:4" x14ac:dyDescent="0.3">
      <c r="C3127" s="1"/>
      <c r="D3127" s="1"/>
    </row>
    <row r="3128" spans="3:4" x14ac:dyDescent="0.3">
      <c r="C3128" s="1"/>
      <c r="D3128" s="1"/>
    </row>
    <row r="3129" spans="3:4" x14ac:dyDescent="0.3">
      <c r="C3129" s="1"/>
      <c r="D3129" s="1"/>
    </row>
    <row r="3136" spans="3:4" x14ac:dyDescent="0.3">
      <c r="C3136" s="1"/>
    </row>
    <row r="3137" spans="3:4" x14ac:dyDescent="0.3">
      <c r="C3137" s="1"/>
    </row>
    <row r="3138" spans="3:4" x14ac:dyDescent="0.3">
      <c r="C3138" s="1"/>
    </row>
    <row r="3139" spans="3:4" x14ac:dyDescent="0.3">
      <c r="C3139" s="1"/>
    </row>
    <row r="3140" spans="3:4" x14ac:dyDescent="0.3">
      <c r="C3140" s="1"/>
    </row>
    <row r="3141" spans="3:4" x14ac:dyDescent="0.3">
      <c r="C3141" s="1"/>
    </row>
    <row r="3143" spans="3:4" x14ac:dyDescent="0.3">
      <c r="C3143" s="1"/>
      <c r="D3143" s="1"/>
    </row>
    <row r="3146" spans="3:4" x14ac:dyDescent="0.3">
      <c r="C3146" s="1"/>
      <c r="D3146" s="1"/>
    </row>
    <row r="3147" spans="3:4" x14ac:dyDescent="0.3">
      <c r="C3147" s="1"/>
    </row>
    <row r="3148" spans="3:4" x14ac:dyDescent="0.3">
      <c r="C3148" s="1"/>
    </row>
    <row r="3149" spans="3:4" x14ac:dyDescent="0.3">
      <c r="D3149" s="1"/>
    </row>
    <row r="3150" spans="3:4" x14ac:dyDescent="0.3">
      <c r="C3150" s="1"/>
      <c r="D3150" s="1"/>
    </row>
    <row r="3157" spans="3:4" x14ac:dyDescent="0.3">
      <c r="C3157" s="1"/>
      <c r="D3157" s="1"/>
    </row>
    <row r="3162" spans="3:4" x14ac:dyDescent="0.3">
      <c r="C3162" s="1"/>
    </row>
    <row r="3170" spans="3:4" x14ac:dyDescent="0.3">
      <c r="D3170" s="1"/>
    </row>
    <row r="3171" spans="3:4" x14ac:dyDescent="0.3">
      <c r="D3171" s="1"/>
    </row>
    <row r="3176" spans="3:4" x14ac:dyDescent="0.3">
      <c r="C3176" s="1"/>
    </row>
    <row r="3179" spans="3:4" x14ac:dyDescent="0.3">
      <c r="C3179" s="1"/>
      <c r="D3179" s="1"/>
    </row>
    <row r="3180" spans="3:4" x14ac:dyDescent="0.3">
      <c r="C3180" s="1"/>
      <c r="D3180" s="1"/>
    </row>
    <row r="3181" spans="3:4" x14ac:dyDescent="0.3">
      <c r="C3181" s="1"/>
      <c r="D3181" s="1"/>
    </row>
    <row r="3182" spans="3:4" x14ac:dyDescent="0.3">
      <c r="C3182" s="1"/>
      <c r="D3182" s="1"/>
    </row>
    <row r="3183" spans="3:4" x14ac:dyDescent="0.3">
      <c r="C3183" s="1"/>
      <c r="D3183" s="1"/>
    </row>
    <row r="3184" spans="3:4" x14ac:dyDescent="0.3">
      <c r="C3184" s="1"/>
      <c r="D3184" s="1"/>
    </row>
    <row r="3185" spans="3:4" x14ac:dyDescent="0.3">
      <c r="C3185" s="1"/>
      <c r="D3185" s="1"/>
    </row>
    <row r="3186" spans="3:4" x14ac:dyDescent="0.3">
      <c r="C3186" s="1"/>
      <c r="D3186" s="1"/>
    </row>
    <row r="3187" spans="3:4" x14ac:dyDescent="0.3">
      <c r="C3187" s="1"/>
      <c r="D3187" s="1"/>
    </row>
    <row r="3188" spans="3:4" x14ac:dyDescent="0.3">
      <c r="C3188" s="1"/>
      <c r="D3188" s="1"/>
    </row>
    <row r="3189" spans="3:4" x14ac:dyDescent="0.3">
      <c r="C3189" s="1"/>
    </row>
    <row r="3192" spans="3:4" x14ac:dyDescent="0.3">
      <c r="D3192" s="1"/>
    </row>
    <row r="3193" spans="3:4" x14ac:dyDescent="0.3">
      <c r="C3193" s="1"/>
      <c r="D3193" s="1"/>
    </row>
    <row r="3194" spans="3:4" x14ac:dyDescent="0.3">
      <c r="C3194" s="1"/>
      <c r="D3194" s="1"/>
    </row>
    <row r="3195" spans="3:4" x14ac:dyDescent="0.3">
      <c r="C3195" s="1"/>
      <c r="D3195" s="1"/>
    </row>
    <row r="3196" spans="3:4" x14ac:dyDescent="0.3">
      <c r="C3196" s="1"/>
      <c r="D3196" s="1"/>
    </row>
    <row r="3197" spans="3:4" x14ac:dyDescent="0.3">
      <c r="C3197" s="1"/>
    </row>
    <row r="3199" spans="3:4" x14ac:dyDescent="0.3">
      <c r="C3199" s="1"/>
      <c r="D3199" s="1"/>
    </row>
    <row r="3200" spans="3:4" x14ac:dyDescent="0.3">
      <c r="C3200" s="1"/>
      <c r="D3200" s="1"/>
    </row>
    <row r="3204" spans="3:4" x14ac:dyDescent="0.3">
      <c r="C3204" s="1"/>
    </row>
    <row r="3205" spans="3:4" x14ac:dyDescent="0.3">
      <c r="C3205" s="1"/>
    </row>
    <row r="3206" spans="3:4" x14ac:dyDescent="0.3">
      <c r="C3206" s="1"/>
    </row>
    <row r="3207" spans="3:4" x14ac:dyDescent="0.3">
      <c r="C3207" s="1"/>
    </row>
    <row r="3208" spans="3:4" x14ac:dyDescent="0.3">
      <c r="C3208" s="1"/>
    </row>
    <row r="3209" spans="3:4" x14ac:dyDescent="0.3">
      <c r="C3209" s="1"/>
    </row>
    <row r="3210" spans="3:4" x14ac:dyDescent="0.3">
      <c r="C3210" s="1"/>
    </row>
    <row r="3211" spans="3:4" x14ac:dyDescent="0.3">
      <c r="C3211" s="1"/>
    </row>
    <row r="3215" spans="3:4" x14ac:dyDescent="0.3">
      <c r="D3215" s="1"/>
    </row>
    <row r="3216" spans="3:4" x14ac:dyDescent="0.3">
      <c r="D3216" s="1"/>
    </row>
    <row r="3217" spans="3:4" x14ac:dyDescent="0.3">
      <c r="C3217" s="1"/>
      <c r="D3217" s="1"/>
    </row>
    <row r="3219" spans="3:4" x14ac:dyDescent="0.3">
      <c r="C3219" s="1"/>
    </row>
    <row r="3220" spans="3:4" x14ac:dyDescent="0.3">
      <c r="C3220" s="1"/>
    </row>
    <row r="3221" spans="3:4" x14ac:dyDescent="0.3">
      <c r="C3221" s="1"/>
      <c r="D3221" s="1"/>
    </row>
    <row r="3222" spans="3:4" x14ac:dyDescent="0.3">
      <c r="C3222" s="1"/>
      <c r="D3222" s="1"/>
    </row>
    <row r="3223" spans="3:4" x14ac:dyDescent="0.3">
      <c r="C3223" s="1"/>
      <c r="D3223" s="1"/>
    </row>
    <row r="3224" spans="3:4" x14ac:dyDescent="0.3">
      <c r="C3224" s="1"/>
      <c r="D3224" s="1"/>
    </row>
    <row r="3225" spans="3:4" x14ac:dyDescent="0.3">
      <c r="C3225" s="1"/>
      <c r="D3225" s="1"/>
    </row>
    <row r="3226" spans="3:4" x14ac:dyDescent="0.3">
      <c r="C3226" s="1"/>
      <c r="D3226" s="1"/>
    </row>
    <row r="3227" spans="3:4" x14ac:dyDescent="0.3">
      <c r="C3227" s="1"/>
      <c r="D3227" s="1"/>
    </row>
    <row r="3228" spans="3:4" x14ac:dyDescent="0.3">
      <c r="C3228" s="1"/>
      <c r="D3228" s="1"/>
    </row>
    <row r="3229" spans="3:4" x14ac:dyDescent="0.3">
      <c r="C3229" s="1"/>
      <c r="D3229" s="1"/>
    </row>
    <row r="3230" spans="3:4" x14ac:dyDescent="0.3">
      <c r="C3230" s="1"/>
      <c r="D3230" s="1"/>
    </row>
    <row r="3231" spans="3:4" x14ac:dyDescent="0.3">
      <c r="C3231" s="1"/>
    </row>
    <row r="3232" spans="3:4" x14ac:dyDescent="0.3">
      <c r="C3232" s="1"/>
      <c r="D3232" s="1"/>
    </row>
    <row r="3238" spans="3:4" x14ac:dyDescent="0.3">
      <c r="C3238" s="1"/>
      <c r="D3238" s="1"/>
    </row>
    <row r="3239" spans="3:4" x14ac:dyDescent="0.3">
      <c r="C3239" s="1"/>
      <c r="D3239" s="1"/>
    </row>
    <row r="3243" spans="3:4" x14ac:dyDescent="0.3">
      <c r="C3243" s="1"/>
      <c r="D3243" s="1"/>
    </row>
    <row r="3244" spans="3:4" x14ac:dyDescent="0.3">
      <c r="D3244" s="1"/>
    </row>
    <row r="3245" spans="3:4" x14ac:dyDescent="0.3">
      <c r="C3245" s="1"/>
      <c r="D3245" s="1"/>
    </row>
    <row r="3246" spans="3:4" x14ac:dyDescent="0.3">
      <c r="C3246" s="1"/>
      <c r="D3246" s="1"/>
    </row>
    <row r="3247" spans="3:4" x14ac:dyDescent="0.3">
      <c r="C3247" s="1"/>
      <c r="D3247" s="1"/>
    </row>
    <row r="3248" spans="3:4" x14ac:dyDescent="0.3">
      <c r="C3248" s="1"/>
      <c r="D3248" s="1"/>
    </row>
    <row r="3249" spans="3:4" x14ac:dyDescent="0.3">
      <c r="C3249" s="1"/>
      <c r="D3249" s="1"/>
    </row>
    <row r="3256" spans="3:4" x14ac:dyDescent="0.3">
      <c r="C3256" s="1"/>
    </row>
    <row r="3257" spans="3:4" x14ac:dyDescent="0.3">
      <c r="C3257" s="1"/>
    </row>
    <row r="3258" spans="3:4" x14ac:dyDescent="0.3">
      <c r="C3258" s="1"/>
    </row>
    <row r="3259" spans="3:4" x14ac:dyDescent="0.3">
      <c r="C3259" s="1"/>
    </row>
    <row r="3260" spans="3:4" x14ac:dyDescent="0.3">
      <c r="C3260" s="1"/>
    </row>
    <row r="3266" spans="3:4" x14ac:dyDescent="0.3">
      <c r="C3266" s="1"/>
      <c r="D3266" s="1"/>
    </row>
    <row r="3267" spans="3:4" x14ac:dyDescent="0.3">
      <c r="C3267" s="1"/>
    </row>
    <row r="3268" spans="3:4" x14ac:dyDescent="0.3">
      <c r="C3268" s="1"/>
    </row>
    <row r="3274" spans="3:4" x14ac:dyDescent="0.3">
      <c r="C3274" s="1"/>
    </row>
    <row r="3275" spans="3:4" x14ac:dyDescent="0.3">
      <c r="C3275" s="1"/>
      <c r="D3275" s="1"/>
    </row>
    <row r="3276" spans="3:4" x14ac:dyDescent="0.3">
      <c r="C3276" s="1"/>
      <c r="D3276" s="1"/>
    </row>
    <row r="3277" spans="3:4" x14ac:dyDescent="0.3">
      <c r="C3277" s="1"/>
      <c r="D3277" s="1"/>
    </row>
    <row r="3278" spans="3:4" x14ac:dyDescent="0.3">
      <c r="C3278" s="1"/>
      <c r="D3278" s="1"/>
    </row>
    <row r="3279" spans="3:4" x14ac:dyDescent="0.3">
      <c r="C3279" s="1"/>
      <c r="D3279" s="1"/>
    </row>
    <row r="3280" spans="3:4" x14ac:dyDescent="0.3">
      <c r="C3280" s="1"/>
      <c r="D3280" s="1"/>
    </row>
    <row r="3281" spans="3:4" x14ac:dyDescent="0.3">
      <c r="C3281" s="1"/>
      <c r="D3281" s="1"/>
    </row>
    <row r="3282" spans="3:4" x14ac:dyDescent="0.3">
      <c r="C3282" s="1"/>
      <c r="D3282" s="1"/>
    </row>
    <row r="3285" spans="3:4" x14ac:dyDescent="0.3">
      <c r="D3285" s="1"/>
    </row>
    <row r="3286" spans="3:4" x14ac:dyDescent="0.3">
      <c r="C3286" s="1"/>
    </row>
    <row r="3293" spans="3:4" x14ac:dyDescent="0.3">
      <c r="D3293" s="1"/>
    </row>
    <row r="3297" spans="3:4" x14ac:dyDescent="0.3">
      <c r="C3297" s="1"/>
      <c r="D3297" s="1"/>
    </row>
    <row r="3306" spans="3:4" x14ac:dyDescent="0.3">
      <c r="D3306" s="1"/>
    </row>
    <row r="3307" spans="3:4" x14ac:dyDescent="0.3">
      <c r="D3307" s="1"/>
    </row>
    <row r="3308" spans="3:4" x14ac:dyDescent="0.3">
      <c r="D3308" s="1"/>
    </row>
    <row r="3309" spans="3:4" x14ac:dyDescent="0.3">
      <c r="D3309" s="1"/>
    </row>
    <row r="3310" spans="3:4" x14ac:dyDescent="0.3">
      <c r="D3310" s="1"/>
    </row>
    <row r="3311" spans="3:4" x14ac:dyDescent="0.3">
      <c r="C3311" s="1"/>
      <c r="D3311" s="1"/>
    </row>
    <row r="3314" spans="3:4" x14ac:dyDescent="0.3">
      <c r="D3314" s="1"/>
    </row>
    <row r="3315" spans="3:4" x14ac:dyDescent="0.3">
      <c r="D3315" s="1"/>
    </row>
    <row r="3318" spans="3:4" x14ac:dyDescent="0.3">
      <c r="C3318" s="1"/>
    </row>
    <row r="3319" spans="3:4" x14ac:dyDescent="0.3">
      <c r="C3319" s="1"/>
    </row>
    <row r="3320" spans="3:4" x14ac:dyDescent="0.3">
      <c r="C3320" s="1"/>
    </row>
    <row r="3326" spans="3:4" x14ac:dyDescent="0.3">
      <c r="C3326" s="1"/>
    </row>
    <row r="3327" spans="3:4" x14ac:dyDescent="0.3">
      <c r="C3327" s="1"/>
    </row>
    <row r="3328" spans="3:4" x14ac:dyDescent="0.3">
      <c r="C3328" s="1"/>
    </row>
    <row r="3329" spans="3:4" x14ac:dyDescent="0.3">
      <c r="C3329" s="1"/>
    </row>
    <row r="3330" spans="3:4" x14ac:dyDescent="0.3">
      <c r="C3330" s="1"/>
    </row>
    <row r="3331" spans="3:4" x14ac:dyDescent="0.3">
      <c r="C3331" s="1"/>
    </row>
    <row r="3332" spans="3:4" x14ac:dyDescent="0.3">
      <c r="C3332" s="1"/>
    </row>
    <row r="3343" spans="3:4" x14ac:dyDescent="0.3">
      <c r="D3343" s="1"/>
    </row>
    <row r="3344" spans="3:4" x14ac:dyDescent="0.3">
      <c r="D3344" s="1"/>
    </row>
    <row r="3345" spans="3:4" x14ac:dyDescent="0.3">
      <c r="D3345" s="1"/>
    </row>
    <row r="3346" spans="3:4" x14ac:dyDescent="0.3">
      <c r="D3346" s="1"/>
    </row>
    <row r="3347" spans="3:4" x14ac:dyDescent="0.3">
      <c r="D3347" s="1"/>
    </row>
    <row r="3348" spans="3:4" x14ac:dyDescent="0.3">
      <c r="D3348" s="1"/>
    </row>
    <row r="3350" spans="3:4" x14ac:dyDescent="0.3">
      <c r="C3350" s="1"/>
      <c r="D3350" s="1"/>
    </row>
    <row r="3359" spans="3:4" x14ac:dyDescent="0.3">
      <c r="C3359" s="1"/>
    </row>
    <row r="3360" spans="3:4" x14ac:dyDescent="0.3">
      <c r="C3360" s="1"/>
      <c r="D3360" s="1"/>
    </row>
    <row r="3361" spans="3:4" x14ac:dyDescent="0.3">
      <c r="C3361" s="1"/>
      <c r="D3361" s="1"/>
    </row>
    <row r="3362" spans="3:4" x14ac:dyDescent="0.3">
      <c r="C3362" s="1"/>
      <c r="D3362" s="1"/>
    </row>
    <row r="3363" spans="3:4" x14ac:dyDescent="0.3">
      <c r="C3363" s="1"/>
      <c r="D3363" s="1"/>
    </row>
    <row r="3367" spans="3:4" x14ac:dyDescent="0.3">
      <c r="D3367" s="1"/>
    </row>
    <row r="3368" spans="3:4" x14ac:dyDescent="0.3">
      <c r="C3368" s="1"/>
    </row>
    <row r="3369" spans="3:4" x14ac:dyDescent="0.3">
      <c r="C3369" s="1"/>
    </row>
    <row r="3375" spans="3:4" x14ac:dyDescent="0.3">
      <c r="C3375" s="1"/>
      <c r="D3375" s="1"/>
    </row>
    <row r="3376" spans="3:4" x14ac:dyDescent="0.3">
      <c r="C3376" s="1"/>
      <c r="D3376" s="1"/>
    </row>
    <row r="3377" spans="3:4" x14ac:dyDescent="0.3">
      <c r="C3377" s="1"/>
      <c r="D3377" s="1"/>
    </row>
    <row r="3378" spans="3:4" x14ac:dyDescent="0.3">
      <c r="C3378" s="1"/>
      <c r="D3378" s="1"/>
    </row>
    <row r="3379" spans="3:4" x14ac:dyDescent="0.3">
      <c r="C3379" s="1"/>
      <c r="D3379" s="1"/>
    </row>
    <row r="3384" spans="3:4" x14ac:dyDescent="0.3">
      <c r="C3384" s="1"/>
      <c r="D3384" s="1"/>
    </row>
    <row r="3385" spans="3:4" x14ac:dyDescent="0.3">
      <c r="C3385" s="1"/>
      <c r="D3385" s="1"/>
    </row>
    <row r="3386" spans="3:4" x14ac:dyDescent="0.3">
      <c r="C3386" s="1"/>
      <c r="D3386" s="1"/>
    </row>
    <row r="3387" spans="3:4" x14ac:dyDescent="0.3">
      <c r="C3387" s="1"/>
      <c r="D3387" s="1"/>
    </row>
    <row r="3388" spans="3:4" x14ac:dyDescent="0.3">
      <c r="C3388" s="1"/>
      <c r="D3388" s="1"/>
    </row>
    <row r="3389" spans="3:4" x14ac:dyDescent="0.3">
      <c r="C3389" s="1"/>
      <c r="D3389" s="1"/>
    </row>
    <row r="3390" spans="3:4" x14ac:dyDescent="0.3">
      <c r="C3390" s="1"/>
      <c r="D3390" s="1"/>
    </row>
    <row r="3391" spans="3:4" x14ac:dyDescent="0.3">
      <c r="C3391" s="1"/>
      <c r="D3391" s="1"/>
    </row>
    <row r="3393" spans="3:4" x14ac:dyDescent="0.3">
      <c r="C3393" s="1"/>
    </row>
    <row r="3394" spans="3:4" x14ac:dyDescent="0.3">
      <c r="C3394" s="1"/>
    </row>
    <row r="3396" spans="3:4" x14ac:dyDescent="0.3">
      <c r="C3396" s="1"/>
      <c r="D3396" s="1"/>
    </row>
    <row r="3397" spans="3:4" x14ac:dyDescent="0.3">
      <c r="C3397" s="1"/>
      <c r="D3397" s="1"/>
    </row>
    <row r="3398" spans="3:4" x14ac:dyDescent="0.3">
      <c r="C3398" s="1"/>
      <c r="D3398" s="1"/>
    </row>
    <row r="3399" spans="3:4" x14ac:dyDescent="0.3">
      <c r="C3399" s="1"/>
      <c r="D3399" s="1"/>
    </row>
    <row r="3404" spans="3:4" x14ac:dyDescent="0.3">
      <c r="C3404" s="1"/>
      <c r="D3404" s="1"/>
    </row>
    <row r="3405" spans="3:4" x14ac:dyDescent="0.3">
      <c r="D3405" s="1"/>
    </row>
    <row r="3411" spans="3:4" x14ac:dyDescent="0.3">
      <c r="D3411" s="1"/>
    </row>
    <row r="3417" spans="3:4" x14ac:dyDescent="0.3">
      <c r="C3417" s="1"/>
      <c r="D3417" s="1"/>
    </row>
    <row r="3418" spans="3:4" x14ac:dyDescent="0.3">
      <c r="C3418" s="1"/>
      <c r="D3418" s="1"/>
    </row>
    <row r="3419" spans="3:4" x14ac:dyDescent="0.3">
      <c r="D3419" s="1"/>
    </row>
    <row r="3420" spans="3:4" x14ac:dyDescent="0.3">
      <c r="D3420" s="1"/>
    </row>
    <row r="3421" spans="3:4" x14ac:dyDescent="0.3">
      <c r="C3421" s="1"/>
    </row>
    <row r="3422" spans="3:4" x14ac:dyDescent="0.3">
      <c r="D3422" s="1"/>
    </row>
    <row r="3423" spans="3:4" x14ac:dyDescent="0.3">
      <c r="D3423" s="1"/>
    </row>
    <row r="3424" spans="3:4" x14ac:dyDescent="0.3">
      <c r="D3424" s="1"/>
    </row>
    <row r="3425" spans="3:4" x14ac:dyDescent="0.3">
      <c r="D3425" s="1"/>
    </row>
    <row r="3426" spans="3:4" x14ac:dyDescent="0.3">
      <c r="D3426" s="1"/>
    </row>
    <row r="3429" spans="3:4" x14ac:dyDescent="0.3">
      <c r="C3429" s="1"/>
      <c r="D3429" s="1"/>
    </row>
    <row r="3430" spans="3:4" x14ac:dyDescent="0.3">
      <c r="C3430" s="1"/>
      <c r="D3430" s="1"/>
    </row>
    <row r="3431" spans="3:4" x14ac:dyDescent="0.3">
      <c r="C3431" s="1"/>
      <c r="D3431" s="1"/>
    </row>
    <row r="3432" spans="3:4" x14ac:dyDescent="0.3">
      <c r="C3432" s="1"/>
      <c r="D3432" s="1"/>
    </row>
    <row r="3433" spans="3:4" x14ac:dyDescent="0.3">
      <c r="C3433" s="1"/>
      <c r="D3433" s="1"/>
    </row>
    <row r="3434" spans="3:4" x14ac:dyDescent="0.3">
      <c r="C3434" s="1"/>
      <c r="D3434" s="1"/>
    </row>
    <row r="3435" spans="3:4" x14ac:dyDescent="0.3">
      <c r="C3435" s="1"/>
      <c r="D3435" s="1"/>
    </row>
    <row r="3436" spans="3:4" x14ac:dyDescent="0.3">
      <c r="C3436" s="1"/>
      <c r="D3436" s="1"/>
    </row>
    <row r="3443" spans="3:4" x14ac:dyDescent="0.3">
      <c r="C3443" s="1"/>
    </row>
    <row r="3446" spans="3:4" x14ac:dyDescent="0.3">
      <c r="D3446" s="1"/>
    </row>
    <row r="3447" spans="3:4" x14ac:dyDescent="0.3">
      <c r="C3447" s="1"/>
    </row>
    <row r="3448" spans="3:4" x14ac:dyDescent="0.3">
      <c r="C3448" s="1"/>
      <c r="D3448" s="1"/>
    </row>
    <row r="3449" spans="3:4" x14ac:dyDescent="0.3">
      <c r="C3449" s="1"/>
    </row>
    <row r="3450" spans="3:4" x14ac:dyDescent="0.3">
      <c r="C3450" s="1"/>
    </row>
    <row r="3451" spans="3:4" x14ac:dyDescent="0.3">
      <c r="C3451" s="1"/>
    </row>
    <row r="3452" spans="3:4" x14ac:dyDescent="0.3">
      <c r="C3452" s="1"/>
    </row>
    <row r="3453" spans="3:4" x14ac:dyDescent="0.3">
      <c r="C3453" s="1"/>
    </row>
    <row r="3455" spans="3:4" x14ac:dyDescent="0.3">
      <c r="C3455" s="1"/>
      <c r="D3455" s="1"/>
    </row>
    <row r="3456" spans="3:4" x14ac:dyDescent="0.3">
      <c r="C3456" s="1"/>
    </row>
    <row r="3463" spans="3:4" x14ac:dyDescent="0.3">
      <c r="C3463" s="1"/>
      <c r="D3463" s="1"/>
    </row>
    <row r="3466" spans="3:4" x14ac:dyDescent="0.3">
      <c r="C3466" s="1"/>
      <c r="D3466" s="1"/>
    </row>
    <row r="3467" spans="3:4" x14ac:dyDescent="0.3">
      <c r="C3467" s="1"/>
    </row>
    <row r="3468" spans="3:4" x14ac:dyDescent="0.3">
      <c r="C3468" s="1"/>
    </row>
    <row r="3469" spans="3:4" x14ac:dyDescent="0.3">
      <c r="C3469" s="1"/>
    </row>
    <row r="3471" spans="3:4" x14ac:dyDescent="0.3">
      <c r="C3471" s="1"/>
      <c r="D3471" s="1"/>
    </row>
    <row r="3472" spans="3:4" x14ac:dyDescent="0.3">
      <c r="C3472" s="1"/>
      <c r="D3472" s="1"/>
    </row>
    <row r="3473" spans="3:4" x14ac:dyDescent="0.3">
      <c r="C3473" s="1"/>
    </row>
    <row r="3474" spans="3:4" x14ac:dyDescent="0.3">
      <c r="C3474" s="1"/>
    </row>
    <row r="3475" spans="3:4" x14ac:dyDescent="0.3">
      <c r="C3475" s="1"/>
      <c r="D3475" s="1"/>
    </row>
    <row r="3476" spans="3:4" x14ac:dyDescent="0.3">
      <c r="C3476" s="1"/>
      <c r="D3476" s="1"/>
    </row>
    <row r="3479" spans="3:4" x14ac:dyDescent="0.3">
      <c r="D3479" s="1"/>
    </row>
    <row r="3480" spans="3:4" x14ac:dyDescent="0.3">
      <c r="C3480" s="1"/>
    </row>
    <row r="3481" spans="3:4" x14ac:dyDescent="0.3">
      <c r="C3481" s="1"/>
    </row>
    <row r="3482" spans="3:4" x14ac:dyDescent="0.3">
      <c r="C3482" s="1"/>
    </row>
    <row r="3483" spans="3:4" x14ac:dyDescent="0.3">
      <c r="C3483" s="1"/>
      <c r="D3483" s="1"/>
    </row>
    <row r="3489" spans="3:4" x14ac:dyDescent="0.3">
      <c r="C3489" s="1"/>
      <c r="D3489" s="1"/>
    </row>
    <row r="3490" spans="3:4" x14ac:dyDescent="0.3">
      <c r="C3490" s="1"/>
      <c r="D3490" s="1"/>
    </row>
    <row r="3491" spans="3:4" x14ac:dyDescent="0.3">
      <c r="C3491" s="1"/>
      <c r="D3491" s="1"/>
    </row>
    <row r="3492" spans="3:4" x14ac:dyDescent="0.3">
      <c r="C3492" s="1"/>
      <c r="D3492" s="1"/>
    </row>
    <row r="3493" spans="3:4" x14ac:dyDescent="0.3">
      <c r="C3493" s="1"/>
      <c r="D3493" s="1"/>
    </row>
    <row r="3494" spans="3:4" x14ac:dyDescent="0.3">
      <c r="C3494" s="1"/>
      <c r="D3494" s="1"/>
    </row>
    <row r="3498" spans="3:4" x14ac:dyDescent="0.3">
      <c r="C3498" s="1"/>
    </row>
    <row r="3499" spans="3:4" x14ac:dyDescent="0.3">
      <c r="C3499" s="1"/>
    </row>
    <row r="3500" spans="3:4" x14ac:dyDescent="0.3">
      <c r="C3500" s="1"/>
    </row>
    <row r="3501" spans="3:4" x14ac:dyDescent="0.3">
      <c r="D3501" s="1"/>
    </row>
    <row r="3502" spans="3:4" x14ac:dyDescent="0.3">
      <c r="D3502" s="1"/>
    </row>
    <row r="3503" spans="3:4" x14ac:dyDescent="0.3">
      <c r="D3503" s="1"/>
    </row>
    <row r="3504" spans="3:4" x14ac:dyDescent="0.3">
      <c r="C3504" s="1"/>
      <c r="D3504" s="1"/>
    </row>
    <row r="3505" spans="3:4" x14ac:dyDescent="0.3">
      <c r="C3505" s="1"/>
      <c r="D3505" s="1"/>
    </row>
    <row r="3514" spans="3:4" x14ac:dyDescent="0.3">
      <c r="C3514" s="1"/>
      <c r="D3514" s="1"/>
    </row>
    <row r="3515" spans="3:4" x14ac:dyDescent="0.3">
      <c r="C3515" s="1"/>
      <c r="D3515" s="1"/>
    </row>
    <row r="3516" spans="3:4" x14ac:dyDescent="0.3">
      <c r="C3516" s="1"/>
      <c r="D3516" s="1"/>
    </row>
    <row r="3518" spans="3:4" x14ac:dyDescent="0.3">
      <c r="C3518" s="1"/>
      <c r="D3518" s="1"/>
    </row>
    <row r="3519" spans="3:4" x14ac:dyDescent="0.3">
      <c r="C3519" s="1"/>
      <c r="D3519" s="1"/>
    </row>
    <row r="3520" spans="3:4" x14ac:dyDescent="0.3">
      <c r="C3520" s="1"/>
      <c r="D3520" s="1"/>
    </row>
    <row r="3522" spans="3:4" x14ac:dyDescent="0.3">
      <c r="C3522" s="1"/>
    </row>
    <row r="3525" spans="3:4" x14ac:dyDescent="0.3">
      <c r="C3525" s="1"/>
      <c r="D3525" s="1"/>
    </row>
    <row r="3527" spans="3:4" x14ac:dyDescent="0.3">
      <c r="C3527" s="1"/>
    </row>
    <row r="3528" spans="3:4" x14ac:dyDescent="0.3">
      <c r="C3528" s="1"/>
    </row>
    <row r="3529" spans="3:4" x14ac:dyDescent="0.3">
      <c r="C3529" s="1"/>
    </row>
    <row r="3539" spans="3:4" x14ac:dyDescent="0.3">
      <c r="C3539" s="1"/>
      <c r="D3539" s="1"/>
    </row>
    <row r="3540" spans="3:4" x14ac:dyDescent="0.3">
      <c r="C3540" s="1"/>
      <c r="D3540" s="1"/>
    </row>
    <row r="3541" spans="3:4" x14ac:dyDescent="0.3">
      <c r="C3541" s="1"/>
      <c r="D3541" s="1"/>
    </row>
    <row r="3542" spans="3:4" x14ac:dyDescent="0.3">
      <c r="C3542" s="1"/>
      <c r="D3542" s="1"/>
    </row>
    <row r="3548" spans="3:4" x14ac:dyDescent="0.3">
      <c r="D3548" s="1"/>
    </row>
    <row r="3549" spans="3:4" x14ac:dyDescent="0.3">
      <c r="D3549" s="1"/>
    </row>
    <row r="3550" spans="3:4" x14ac:dyDescent="0.3">
      <c r="D3550" s="1"/>
    </row>
    <row r="3551" spans="3:4" x14ac:dyDescent="0.3">
      <c r="D3551" s="1"/>
    </row>
    <row r="3552" spans="3:4" x14ac:dyDescent="0.3">
      <c r="D3552" s="1"/>
    </row>
    <row r="3553" spans="3:4" x14ac:dyDescent="0.3">
      <c r="D3553" s="1"/>
    </row>
    <row r="3554" spans="3:4" x14ac:dyDescent="0.3">
      <c r="D3554" s="1"/>
    </row>
    <row r="3558" spans="3:4" x14ac:dyDescent="0.3">
      <c r="C3558" s="1"/>
      <c r="D3558" s="1"/>
    </row>
    <row r="3559" spans="3:4" x14ac:dyDescent="0.3">
      <c r="C3559" s="1"/>
      <c r="D3559" s="1"/>
    </row>
    <row r="3560" spans="3:4" x14ac:dyDescent="0.3">
      <c r="C3560" s="1"/>
      <c r="D3560" s="1"/>
    </row>
    <row r="3561" spans="3:4" x14ac:dyDescent="0.3">
      <c r="C3561" s="1"/>
      <c r="D3561" s="1"/>
    </row>
    <row r="3562" spans="3:4" x14ac:dyDescent="0.3">
      <c r="C3562" s="1"/>
      <c r="D3562" s="1"/>
    </row>
    <row r="3563" spans="3:4" x14ac:dyDescent="0.3">
      <c r="C3563" s="1"/>
      <c r="D3563" s="1"/>
    </row>
    <row r="3564" spans="3:4" x14ac:dyDescent="0.3">
      <c r="C3564" s="1"/>
      <c r="D3564" s="1"/>
    </row>
    <row r="3565" spans="3:4" x14ac:dyDescent="0.3">
      <c r="C3565" s="1"/>
      <c r="D3565" s="1"/>
    </row>
    <row r="3566" spans="3:4" x14ac:dyDescent="0.3">
      <c r="C3566" s="1"/>
      <c r="D3566" s="1"/>
    </row>
    <row r="3567" spans="3:4" x14ac:dyDescent="0.3">
      <c r="C3567" s="1"/>
      <c r="D3567" s="1"/>
    </row>
    <row r="3568" spans="3:4" x14ac:dyDescent="0.3">
      <c r="C3568" s="1"/>
    </row>
    <row r="3569" spans="3:4" x14ac:dyDescent="0.3">
      <c r="C3569" s="1"/>
    </row>
    <row r="3570" spans="3:4" x14ac:dyDescent="0.3">
      <c r="C3570" s="1"/>
      <c r="D3570" s="1"/>
    </row>
    <row r="3571" spans="3:4" x14ac:dyDescent="0.3">
      <c r="C3571" s="1"/>
      <c r="D3571" s="1"/>
    </row>
    <row r="3572" spans="3:4" x14ac:dyDescent="0.3">
      <c r="C3572" s="1"/>
      <c r="D3572" s="1"/>
    </row>
    <row r="3573" spans="3:4" x14ac:dyDescent="0.3">
      <c r="C3573" s="1"/>
      <c r="D3573" s="1"/>
    </row>
    <row r="3574" spans="3:4" x14ac:dyDescent="0.3">
      <c r="D3574" s="1"/>
    </row>
    <row r="3575" spans="3:4" x14ac:dyDescent="0.3">
      <c r="C3575" s="1"/>
      <c r="D3575" s="1"/>
    </row>
    <row r="3576" spans="3:4" x14ac:dyDescent="0.3">
      <c r="C3576" s="1"/>
      <c r="D3576" s="1"/>
    </row>
    <row r="3578" spans="3:4" x14ac:dyDescent="0.3">
      <c r="C3578" s="1"/>
      <c r="D3578" s="1"/>
    </row>
    <row r="3579" spans="3:4" x14ac:dyDescent="0.3">
      <c r="C3579" s="1"/>
      <c r="D3579" s="1"/>
    </row>
    <row r="3583" spans="3:4" x14ac:dyDescent="0.3">
      <c r="C3583" s="1"/>
      <c r="D3583" s="1"/>
    </row>
    <row r="3584" spans="3:4" x14ac:dyDescent="0.3">
      <c r="C3584" s="1"/>
    </row>
    <row r="3585" spans="3:4" x14ac:dyDescent="0.3">
      <c r="C3585" s="1"/>
    </row>
    <row r="3586" spans="3:4" x14ac:dyDescent="0.3">
      <c r="C3586" s="1"/>
    </row>
    <row r="3587" spans="3:4" x14ac:dyDescent="0.3">
      <c r="C3587" s="1"/>
    </row>
    <row r="3588" spans="3:4" x14ac:dyDescent="0.3">
      <c r="C3588" s="1"/>
      <c r="D3588" s="1"/>
    </row>
    <row r="3594" spans="3:4" x14ac:dyDescent="0.3">
      <c r="C3594" s="1"/>
      <c r="D3594" s="1"/>
    </row>
    <row r="3595" spans="3:4" x14ac:dyDescent="0.3">
      <c r="C3595" s="1"/>
    </row>
    <row r="3596" spans="3:4" x14ac:dyDescent="0.3">
      <c r="C3596" s="1"/>
    </row>
    <row r="3597" spans="3:4" x14ac:dyDescent="0.3">
      <c r="C3597" s="1"/>
    </row>
    <row r="3598" spans="3:4" x14ac:dyDescent="0.3">
      <c r="C3598" s="1"/>
    </row>
    <row r="3599" spans="3:4" x14ac:dyDescent="0.3">
      <c r="C3599" s="1"/>
    </row>
    <row r="3600" spans="3:4" x14ac:dyDescent="0.3">
      <c r="C3600" s="1"/>
    </row>
    <row r="3601" spans="3:4" x14ac:dyDescent="0.3">
      <c r="C3601" s="1"/>
    </row>
    <row r="3608" spans="3:4" x14ac:dyDescent="0.3">
      <c r="C3608" s="1"/>
    </row>
    <row r="3610" spans="3:4" x14ac:dyDescent="0.3">
      <c r="D3610" s="1"/>
    </row>
    <row r="3611" spans="3:4" x14ac:dyDescent="0.3">
      <c r="D3611" s="1"/>
    </row>
    <row r="3612" spans="3:4" x14ac:dyDescent="0.3">
      <c r="D3612" s="1"/>
    </row>
    <row r="3613" spans="3:4" x14ac:dyDescent="0.3">
      <c r="D3613" s="1"/>
    </row>
    <row r="3614" spans="3:4" x14ac:dyDescent="0.3">
      <c r="C3614" s="1"/>
      <c r="D3614" s="1"/>
    </row>
    <row r="3615" spans="3:4" x14ac:dyDescent="0.3">
      <c r="C3615" s="1"/>
      <c r="D3615" s="1"/>
    </row>
    <row r="3618" spans="3:4" x14ac:dyDescent="0.3">
      <c r="C3618" s="1"/>
      <c r="D3618" s="1"/>
    </row>
    <row r="3619" spans="3:4" x14ac:dyDescent="0.3">
      <c r="C3619" s="1"/>
      <c r="D3619" s="1"/>
    </row>
    <row r="3620" spans="3:4" x14ac:dyDescent="0.3">
      <c r="C3620" s="1"/>
      <c r="D3620" s="1"/>
    </row>
    <row r="3621" spans="3:4" x14ac:dyDescent="0.3">
      <c r="C3621" s="1"/>
      <c r="D3621" s="1"/>
    </row>
    <row r="3630" spans="3:4" x14ac:dyDescent="0.3">
      <c r="C3630" s="1"/>
    </row>
    <row r="3633" spans="3:4" x14ac:dyDescent="0.3">
      <c r="C3633" s="1"/>
      <c r="D3633" s="1"/>
    </row>
    <row r="3634" spans="3:4" x14ac:dyDescent="0.3">
      <c r="C3634" s="1"/>
      <c r="D3634" s="1"/>
    </row>
    <row r="3635" spans="3:4" x14ac:dyDescent="0.3">
      <c r="C3635" s="1"/>
    </row>
    <row r="3636" spans="3:4" x14ac:dyDescent="0.3">
      <c r="C3636" s="1"/>
    </row>
    <row r="3637" spans="3:4" x14ac:dyDescent="0.3">
      <c r="C3637" s="1"/>
    </row>
    <row r="3638" spans="3:4" x14ac:dyDescent="0.3">
      <c r="C3638" s="1"/>
    </row>
    <row r="3639" spans="3:4" x14ac:dyDescent="0.3">
      <c r="C3639" s="1"/>
    </row>
    <row r="3640" spans="3:4" x14ac:dyDescent="0.3">
      <c r="C3640" s="1"/>
    </row>
    <row r="3641" spans="3:4" x14ac:dyDescent="0.3">
      <c r="C3641" s="1"/>
    </row>
    <row r="3642" spans="3:4" x14ac:dyDescent="0.3">
      <c r="C3642" s="1"/>
    </row>
    <row r="3643" spans="3:4" x14ac:dyDescent="0.3">
      <c r="C3643" s="1"/>
    </row>
    <row r="3652" spans="3:4" x14ac:dyDescent="0.3">
      <c r="C3652" s="1"/>
      <c r="D3652" s="1"/>
    </row>
    <row r="3653" spans="3:4" x14ac:dyDescent="0.3">
      <c r="C3653" s="1"/>
      <c r="D3653" s="1"/>
    </row>
    <row r="3654" spans="3:4" x14ac:dyDescent="0.3">
      <c r="C3654" s="1"/>
      <c r="D3654" s="1"/>
    </row>
    <row r="3655" spans="3:4" x14ac:dyDescent="0.3">
      <c r="C3655" s="1"/>
      <c r="D3655" s="1"/>
    </row>
    <row r="3656" spans="3:4" x14ac:dyDescent="0.3">
      <c r="D3656" s="1"/>
    </row>
    <row r="3658" spans="3:4" x14ac:dyDescent="0.3">
      <c r="C3658" s="1"/>
    </row>
    <row r="3659" spans="3:4" x14ac:dyDescent="0.3">
      <c r="C3659" s="1"/>
    </row>
    <row r="3660" spans="3:4" x14ac:dyDescent="0.3">
      <c r="C3660" s="1"/>
    </row>
    <row r="3661" spans="3:4" x14ac:dyDescent="0.3">
      <c r="C3661" s="1"/>
    </row>
    <row r="3664" spans="3:4" x14ac:dyDescent="0.3">
      <c r="C3664" s="1"/>
      <c r="D3664" s="1"/>
    </row>
    <row r="3665" spans="3:4" x14ac:dyDescent="0.3">
      <c r="C3665" s="1"/>
      <c r="D3665" s="1"/>
    </row>
    <row r="3666" spans="3:4" x14ac:dyDescent="0.3">
      <c r="C3666" s="1"/>
    </row>
    <row r="3667" spans="3:4" x14ac:dyDescent="0.3">
      <c r="C3667" s="1"/>
    </row>
    <row r="3668" spans="3:4" x14ac:dyDescent="0.3">
      <c r="C3668" s="1"/>
    </row>
    <row r="3669" spans="3:4" x14ac:dyDescent="0.3">
      <c r="C3669" s="1"/>
    </row>
    <row r="3670" spans="3:4" x14ac:dyDescent="0.3">
      <c r="C3670" s="1"/>
    </row>
    <row r="3671" spans="3:4" x14ac:dyDescent="0.3">
      <c r="C3671" s="1"/>
    </row>
    <row r="3672" spans="3:4" x14ac:dyDescent="0.3">
      <c r="C3672" s="1"/>
    </row>
    <row r="3673" spans="3:4" x14ac:dyDescent="0.3">
      <c r="C3673" s="1"/>
    </row>
    <row r="3674" spans="3:4" x14ac:dyDescent="0.3">
      <c r="C3674" s="1"/>
    </row>
    <row r="3675" spans="3:4" x14ac:dyDescent="0.3">
      <c r="C3675" s="1"/>
    </row>
    <row r="3676" spans="3:4" x14ac:dyDescent="0.3">
      <c r="C3676" s="1"/>
      <c r="D3676" s="1"/>
    </row>
    <row r="3677" spans="3:4" x14ac:dyDescent="0.3">
      <c r="C3677" s="1"/>
      <c r="D3677" s="1"/>
    </row>
    <row r="3678" spans="3:4" x14ac:dyDescent="0.3">
      <c r="C3678" s="1"/>
      <c r="D3678" s="1"/>
    </row>
    <row r="3679" spans="3:4" x14ac:dyDescent="0.3">
      <c r="C3679" s="1"/>
    </row>
    <row r="3680" spans="3:4" x14ac:dyDescent="0.3">
      <c r="C3680" s="1"/>
    </row>
    <row r="3681" spans="3:4" x14ac:dyDescent="0.3">
      <c r="C3681" s="1"/>
    </row>
    <row r="3682" spans="3:4" x14ac:dyDescent="0.3">
      <c r="C3682" s="1"/>
    </row>
    <row r="3683" spans="3:4" x14ac:dyDescent="0.3">
      <c r="C3683" s="1"/>
    </row>
    <row r="3684" spans="3:4" x14ac:dyDescent="0.3">
      <c r="C3684" s="1"/>
    </row>
    <row r="3685" spans="3:4" x14ac:dyDescent="0.3">
      <c r="C3685" s="1"/>
    </row>
    <row r="3686" spans="3:4" x14ac:dyDescent="0.3">
      <c r="C3686" s="1"/>
    </row>
    <row r="3687" spans="3:4" x14ac:dyDescent="0.3">
      <c r="C3687" s="1"/>
    </row>
    <row r="3690" spans="3:4" x14ac:dyDescent="0.3">
      <c r="C3690" s="1"/>
      <c r="D3690" s="1"/>
    </row>
    <row r="3691" spans="3:4" x14ac:dyDescent="0.3">
      <c r="C3691" s="1"/>
      <c r="D3691" s="1"/>
    </row>
    <row r="3692" spans="3:4" x14ac:dyDescent="0.3">
      <c r="D3692" s="1"/>
    </row>
    <row r="3693" spans="3:4" x14ac:dyDescent="0.3">
      <c r="D3693" s="1"/>
    </row>
    <row r="3694" spans="3:4" x14ac:dyDescent="0.3">
      <c r="D3694" s="1"/>
    </row>
    <row r="3695" spans="3:4" x14ac:dyDescent="0.3">
      <c r="D3695" s="1"/>
    </row>
    <row r="3703" spans="3:3" x14ac:dyDescent="0.3">
      <c r="C3703" s="1"/>
    </row>
    <row r="3716" spans="3:4" x14ac:dyDescent="0.3">
      <c r="C3716" s="1"/>
      <c r="D3716" s="1"/>
    </row>
    <row r="3717" spans="3:4" x14ac:dyDescent="0.3">
      <c r="C3717" s="1"/>
      <c r="D3717" s="1"/>
    </row>
    <row r="3718" spans="3:4" x14ac:dyDescent="0.3">
      <c r="D3718" s="1"/>
    </row>
    <row r="3725" spans="3:4" x14ac:dyDescent="0.3">
      <c r="D3725" s="1"/>
    </row>
    <row r="3726" spans="3:4" x14ac:dyDescent="0.3">
      <c r="C3726" s="1"/>
      <c r="D3726" s="1"/>
    </row>
    <row r="3727" spans="3:4" x14ac:dyDescent="0.3">
      <c r="D3727" s="1"/>
    </row>
    <row r="3728" spans="3:4" x14ac:dyDescent="0.3">
      <c r="C3728" s="1"/>
      <c r="D3728" s="1"/>
    </row>
    <row r="3729" spans="3:4" x14ac:dyDescent="0.3">
      <c r="C3729" s="1"/>
      <c r="D3729" s="1"/>
    </row>
    <row r="3730" spans="3:4" x14ac:dyDescent="0.3">
      <c r="C3730" s="1"/>
      <c r="D3730" s="1"/>
    </row>
    <row r="3736" spans="3:4" x14ac:dyDescent="0.3">
      <c r="C3736" s="1"/>
      <c r="D3736" s="1"/>
    </row>
    <row r="3737" spans="3:4" x14ac:dyDescent="0.3">
      <c r="C3737" s="1"/>
      <c r="D3737" s="1"/>
    </row>
    <row r="3740" spans="3:4" x14ac:dyDescent="0.3">
      <c r="C3740" s="1"/>
    </row>
    <row r="3741" spans="3:4" x14ac:dyDescent="0.3">
      <c r="C3741" s="1"/>
    </row>
    <row r="3742" spans="3:4" x14ac:dyDescent="0.3">
      <c r="C3742" s="1"/>
    </row>
    <row r="3757" spans="3:4" x14ac:dyDescent="0.3">
      <c r="C3757" s="1"/>
      <c r="D3757" s="1"/>
    </row>
    <row r="3758" spans="3:4" x14ac:dyDescent="0.3">
      <c r="C3758" s="1"/>
      <c r="D3758" s="1"/>
    </row>
    <row r="3759" spans="3:4" x14ac:dyDescent="0.3">
      <c r="D3759" s="1"/>
    </row>
    <row r="3763" spans="3:4" x14ac:dyDescent="0.3">
      <c r="C3763" s="1"/>
    </row>
    <row r="3766" spans="3:4" x14ac:dyDescent="0.3">
      <c r="D3766" s="1"/>
    </row>
    <row r="3769" spans="3:4" x14ac:dyDescent="0.3">
      <c r="C3769" s="1"/>
      <c r="D3769" s="1"/>
    </row>
    <row r="3773" spans="3:4" x14ac:dyDescent="0.3">
      <c r="C3773" s="1"/>
    </row>
    <row r="3774" spans="3:4" x14ac:dyDescent="0.3">
      <c r="C3774" s="1"/>
      <c r="D3774" s="1"/>
    </row>
    <row r="3775" spans="3:4" x14ac:dyDescent="0.3">
      <c r="C3775" s="1"/>
    </row>
    <row r="3776" spans="3:4" x14ac:dyDescent="0.3">
      <c r="C3776" s="1"/>
    </row>
    <row r="3777" spans="3:4" x14ac:dyDescent="0.3">
      <c r="C3777" s="1"/>
    </row>
    <row r="3778" spans="3:4" x14ac:dyDescent="0.3">
      <c r="C3778" s="1"/>
    </row>
    <row r="3779" spans="3:4" x14ac:dyDescent="0.3">
      <c r="C3779" s="1"/>
      <c r="D3779" s="1"/>
    </row>
    <row r="3780" spans="3:4" x14ac:dyDescent="0.3">
      <c r="D3780" s="1"/>
    </row>
    <row r="3783" spans="3:4" x14ac:dyDescent="0.3">
      <c r="C3783" s="1"/>
    </row>
    <row r="3786" spans="3:4" x14ac:dyDescent="0.3">
      <c r="D3786" s="1"/>
    </row>
    <row r="3788" spans="3:4" x14ac:dyDescent="0.3">
      <c r="D3788" s="1"/>
    </row>
    <row r="3789" spans="3:4" x14ac:dyDescent="0.3">
      <c r="C3789" s="1"/>
      <c r="D3789" s="1"/>
    </row>
    <row r="3790" spans="3:4" x14ac:dyDescent="0.3">
      <c r="C3790" s="1"/>
      <c r="D3790" s="1"/>
    </row>
    <row r="3792" spans="3:4" x14ac:dyDescent="0.3">
      <c r="C3792" s="1"/>
      <c r="D3792" s="1"/>
    </row>
    <row r="3795" spans="3:4" x14ac:dyDescent="0.3">
      <c r="D3795" s="1"/>
    </row>
    <row r="3796" spans="3:4" x14ac:dyDescent="0.3">
      <c r="D3796" s="1"/>
    </row>
    <row r="3797" spans="3:4" x14ac:dyDescent="0.3">
      <c r="D3797" s="1"/>
    </row>
    <row r="3798" spans="3:4" x14ac:dyDescent="0.3">
      <c r="D3798" s="1"/>
    </row>
    <row r="3800" spans="3:4" x14ac:dyDescent="0.3">
      <c r="C3800" s="1"/>
      <c r="D3800" s="1"/>
    </row>
    <row r="3801" spans="3:4" x14ac:dyDescent="0.3">
      <c r="C3801" s="1"/>
      <c r="D3801" s="1"/>
    </row>
    <row r="3808" spans="3:4" x14ac:dyDescent="0.3">
      <c r="C3808" s="1"/>
    </row>
    <row r="3809" spans="3:4" x14ac:dyDescent="0.3">
      <c r="C3809" s="1"/>
    </row>
    <row r="3810" spans="3:4" x14ac:dyDescent="0.3">
      <c r="C3810" s="1"/>
    </row>
    <row r="3811" spans="3:4" x14ac:dyDescent="0.3">
      <c r="C3811" s="1"/>
    </row>
    <row r="3812" spans="3:4" x14ac:dyDescent="0.3">
      <c r="C3812" s="1"/>
    </row>
    <row r="3813" spans="3:4" x14ac:dyDescent="0.3">
      <c r="C3813" s="1"/>
    </row>
    <row r="3814" spans="3:4" x14ac:dyDescent="0.3">
      <c r="C3814" s="1"/>
      <c r="D3814" s="1"/>
    </row>
    <row r="3815" spans="3:4" x14ac:dyDescent="0.3">
      <c r="C3815" s="1"/>
      <c r="D3815" s="1"/>
    </row>
    <row r="3816" spans="3:4" x14ac:dyDescent="0.3">
      <c r="C3816" s="1"/>
      <c r="D3816" s="1"/>
    </row>
    <row r="3817" spans="3:4" x14ac:dyDescent="0.3">
      <c r="C3817" s="1"/>
      <c r="D3817" s="1"/>
    </row>
    <row r="3821" spans="3:4" x14ac:dyDescent="0.3">
      <c r="C3821" s="1"/>
    </row>
    <row r="3822" spans="3:4" x14ac:dyDescent="0.3">
      <c r="C3822" s="1"/>
    </row>
    <row r="3823" spans="3:4" x14ac:dyDescent="0.3">
      <c r="C3823" s="1"/>
    </row>
    <row r="3824" spans="3:4" x14ac:dyDescent="0.3">
      <c r="C3824" s="1"/>
    </row>
    <row r="3828" spans="3:4" x14ac:dyDescent="0.3">
      <c r="C3828" s="1"/>
      <c r="D3828" s="1"/>
    </row>
    <row r="3829" spans="3:4" x14ac:dyDescent="0.3">
      <c r="C3829" s="1"/>
      <c r="D3829" s="1"/>
    </row>
    <row r="3830" spans="3:4" x14ac:dyDescent="0.3">
      <c r="C3830" s="1"/>
      <c r="D3830" s="1"/>
    </row>
    <row r="3831" spans="3:4" x14ac:dyDescent="0.3">
      <c r="C3831" s="1"/>
      <c r="D3831" s="1"/>
    </row>
    <row r="3832" spans="3:4" x14ac:dyDescent="0.3">
      <c r="C3832" s="1"/>
      <c r="D3832" s="1"/>
    </row>
    <row r="3837" spans="3:4" x14ac:dyDescent="0.3">
      <c r="C3837" s="1"/>
    </row>
    <row r="3838" spans="3:4" x14ac:dyDescent="0.3">
      <c r="C3838" s="1"/>
    </row>
    <row r="3839" spans="3:4" x14ac:dyDescent="0.3">
      <c r="D3839" s="1"/>
    </row>
    <row r="3840" spans="3:4" x14ac:dyDescent="0.3">
      <c r="D3840" s="1"/>
    </row>
    <row r="3841" spans="3:4" x14ac:dyDescent="0.3">
      <c r="D3841" s="1"/>
    </row>
    <row r="3842" spans="3:4" x14ac:dyDescent="0.3">
      <c r="D3842" s="1"/>
    </row>
    <row r="3843" spans="3:4" x14ac:dyDescent="0.3">
      <c r="C3843" s="1"/>
      <c r="D3843" s="1"/>
    </row>
    <row r="3852" spans="3:4" x14ac:dyDescent="0.3">
      <c r="C3852" s="1"/>
      <c r="D3852" s="1"/>
    </row>
    <row r="3855" spans="3:4" x14ac:dyDescent="0.3">
      <c r="C3855" s="1"/>
      <c r="D3855" s="1"/>
    </row>
    <row r="3856" spans="3:4" x14ac:dyDescent="0.3">
      <c r="C3856" s="1"/>
      <c r="D3856" s="1"/>
    </row>
    <row r="3863" spans="3:4" x14ac:dyDescent="0.3">
      <c r="C3863" s="1"/>
      <c r="D3863" s="1"/>
    </row>
    <row r="3864" spans="3:4" x14ac:dyDescent="0.3">
      <c r="C3864" s="1"/>
      <c r="D3864" s="1"/>
    </row>
    <row r="3866" spans="3:4" x14ac:dyDescent="0.3">
      <c r="D3866" s="1"/>
    </row>
    <row r="3875" spans="3:4" x14ac:dyDescent="0.3">
      <c r="C3875" s="1"/>
      <c r="D3875" s="1"/>
    </row>
    <row r="3876" spans="3:4" x14ac:dyDescent="0.3">
      <c r="C3876" s="1"/>
      <c r="D3876" s="1"/>
    </row>
    <row r="3877" spans="3:4" x14ac:dyDescent="0.3">
      <c r="C3877" s="1"/>
      <c r="D3877" s="1"/>
    </row>
    <row r="3878" spans="3:4" x14ac:dyDescent="0.3">
      <c r="C3878" s="1"/>
      <c r="D3878" s="1"/>
    </row>
    <row r="3879" spans="3:4" x14ac:dyDescent="0.3">
      <c r="D3879" s="1"/>
    </row>
    <row r="3880" spans="3:4" x14ac:dyDescent="0.3">
      <c r="C3880" s="1"/>
      <c r="D3880" s="1"/>
    </row>
    <row r="3881" spans="3:4" x14ac:dyDescent="0.3">
      <c r="C3881" s="1"/>
      <c r="D3881" s="1"/>
    </row>
    <row r="3886" spans="3:4" x14ac:dyDescent="0.3">
      <c r="C3886" s="1"/>
      <c r="D3886" s="1"/>
    </row>
    <row r="3887" spans="3:4" x14ac:dyDescent="0.3">
      <c r="D3887" s="1"/>
    </row>
    <row r="3888" spans="3:4" x14ac:dyDescent="0.3">
      <c r="C3888" s="1"/>
      <c r="D3888" s="1"/>
    </row>
    <row r="3889" spans="3:4" x14ac:dyDescent="0.3">
      <c r="C3889" s="1"/>
      <c r="D3889" s="1"/>
    </row>
    <row r="3890" spans="3:4" x14ac:dyDescent="0.3">
      <c r="C3890" s="1"/>
      <c r="D3890" s="1"/>
    </row>
    <row r="3891" spans="3:4" x14ac:dyDescent="0.3">
      <c r="C3891" s="1"/>
      <c r="D3891" s="1"/>
    </row>
    <row r="3895" spans="3:4" x14ac:dyDescent="0.3">
      <c r="C3895" s="1"/>
    </row>
    <row r="3897" spans="3:4" x14ac:dyDescent="0.3">
      <c r="C3897" s="1"/>
      <c r="D3897" s="1"/>
    </row>
    <row r="3898" spans="3:4" x14ac:dyDescent="0.3">
      <c r="C3898" s="1"/>
      <c r="D3898" s="1"/>
    </row>
    <row r="3899" spans="3:4" x14ac:dyDescent="0.3">
      <c r="C3899" s="1"/>
      <c r="D3899" s="1"/>
    </row>
    <row r="3900" spans="3:4" x14ac:dyDescent="0.3">
      <c r="D3900" s="1"/>
    </row>
    <row r="3901" spans="3:4" x14ac:dyDescent="0.3">
      <c r="C3901" s="1"/>
      <c r="D3901" s="1"/>
    </row>
    <row r="3902" spans="3:4" x14ac:dyDescent="0.3">
      <c r="C3902" s="1"/>
      <c r="D3902" s="1"/>
    </row>
    <row r="3904" spans="3:4" x14ac:dyDescent="0.3">
      <c r="C3904" s="1"/>
      <c r="D3904" s="1"/>
    </row>
    <row r="3905" spans="3:4" x14ac:dyDescent="0.3">
      <c r="C3905" s="1"/>
      <c r="D3905" s="1"/>
    </row>
    <row r="3906" spans="3:4" x14ac:dyDescent="0.3">
      <c r="C3906" s="1"/>
      <c r="D3906" s="1"/>
    </row>
    <row r="3907" spans="3:4" x14ac:dyDescent="0.3">
      <c r="C3907" s="1"/>
      <c r="D3907" s="1"/>
    </row>
    <row r="3908" spans="3:4" x14ac:dyDescent="0.3">
      <c r="C3908" s="1"/>
      <c r="D3908" s="1"/>
    </row>
    <row r="3909" spans="3:4" x14ac:dyDescent="0.3">
      <c r="C3909" s="1"/>
      <c r="D3909" s="1"/>
    </row>
    <row r="3910" spans="3:4" x14ac:dyDescent="0.3">
      <c r="C3910" s="1"/>
      <c r="D3910" s="1"/>
    </row>
    <row r="3911" spans="3:4" x14ac:dyDescent="0.3">
      <c r="C3911" s="1"/>
      <c r="D3911" s="1"/>
    </row>
    <row r="3912" spans="3:4" x14ac:dyDescent="0.3">
      <c r="C3912" s="1"/>
      <c r="D3912" s="1"/>
    </row>
    <row r="3913" spans="3:4" x14ac:dyDescent="0.3">
      <c r="C3913" s="1"/>
      <c r="D3913" s="1"/>
    </row>
    <row r="3921" spans="3:4" x14ac:dyDescent="0.3">
      <c r="C3921" s="1"/>
      <c r="D3921" s="1"/>
    </row>
    <row r="3922" spans="3:4" x14ac:dyDescent="0.3">
      <c r="C3922" s="1"/>
      <c r="D3922" s="1"/>
    </row>
    <row r="3923" spans="3:4" x14ac:dyDescent="0.3">
      <c r="D3923" s="1"/>
    </row>
    <row r="3924" spans="3:4" x14ac:dyDescent="0.3">
      <c r="D3924" s="1"/>
    </row>
    <row r="3925" spans="3:4" x14ac:dyDescent="0.3">
      <c r="D3925" s="1"/>
    </row>
    <row r="3933" spans="3:4" x14ac:dyDescent="0.3">
      <c r="D3933" s="1"/>
    </row>
    <row r="3934" spans="3:4" x14ac:dyDescent="0.3">
      <c r="D3934" s="1"/>
    </row>
    <row r="3935" spans="3:4" x14ac:dyDescent="0.3">
      <c r="C3935" s="1"/>
      <c r="D3935" s="1"/>
    </row>
    <row r="3936" spans="3:4" x14ac:dyDescent="0.3">
      <c r="C3936" s="1"/>
      <c r="D3936" s="1"/>
    </row>
    <row r="3937" spans="3:4" x14ac:dyDescent="0.3">
      <c r="C3937" s="1"/>
      <c r="D3937" s="1"/>
    </row>
    <row r="3941" spans="3:4" x14ac:dyDescent="0.3">
      <c r="C3941" s="1"/>
      <c r="D3941" s="1"/>
    </row>
    <row r="3954" spans="3:4" x14ac:dyDescent="0.3">
      <c r="C3954" s="1"/>
      <c r="D3954" s="1"/>
    </row>
    <row r="3956" spans="3:4" x14ac:dyDescent="0.3">
      <c r="C3956" s="1"/>
      <c r="D3956" s="1"/>
    </row>
    <row r="3957" spans="3:4" x14ac:dyDescent="0.3">
      <c r="C3957" s="1"/>
      <c r="D3957" s="1"/>
    </row>
    <row r="3958" spans="3:4" x14ac:dyDescent="0.3">
      <c r="D3958" s="1"/>
    </row>
    <row r="3959" spans="3:4" x14ac:dyDescent="0.3">
      <c r="D3959" s="1"/>
    </row>
    <row r="3960" spans="3:4" x14ac:dyDescent="0.3">
      <c r="D3960" s="1"/>
    </row>
    <row r="3961" spans="3:4" x14ac:dyDescent="0.3">
      <c r="D3961" s="1"/>
    </row>
    <row r="3967" spans="3:4" x14ac:dyDescent="0.3">
      <c r="C3967" s="1"/>
    </row>
    <row r="3968" spans="3:4" x14ac:dyDescent="0.3">
      <c r="C3968" s="1"/>
      <c r="D3968" s="1"/>
    </row>
    <row r="3970" spans="3:4" x14ac:dyDescent="0.3">
      <c r="C3970" s="1"/>
      <c r="D3970" s="1"/>
    </row>
    <row r="3971" spans="3:4" x14ac:dyDescent="0.3">
      <c r="C3971" s="1"/>
      <c r="D3971" s="1"/>
    </row>
    <row r="3974" spans="3:4" x14ac:dyDescent="0.3">
      <c r="D3974" s="1"/>
    </row>
    <row r="3975" spans="3:4" x14ac:dyDescent="0.3">
      <c r="D3975" s="1"/>
    </row>
    <row r="3976" spans="3:4" x14ac:dyDescent="0.3">
      <c r="D3976" s="1"/>
    </row>
    <row r="3977" spans="3:4" x14ac:dyDescent="0.3">
      <c r="D3977" s="1"/>
    </row>
    <row r="3979" spans="3:4" x14ac:dyDescent="0.3">
      <c r="C3979" s="1"/>
      <c r="D3979" s="1"/>
    </row>
    <row r="3980" spans="3:4" x14ac:dyDescent="0.3">
      <c r="C3980" s="1"/>
      <c r="D3980" s="1"/>
    </row>
    <row r="3984" spans="3:4" x14ac:dyDescent="0.3">
      <c r="C3984" s="1"/>
      <c r="D3984" s="1"/>
    </row>
    <row r="3985" spans="3:4" x14ac:dyDescent="0.3">
      <c r="C3985" s="1"/>
      <c r="D3985" s="1"/>
    </row>
    <row r="3986" spans="3:4" x14ac:dyDescent="0.3">
      <c r="C3986" s="1"/>
      <c r="D3986" s="1"/>
    </row>
    <row r="3988" spans="3:4" x14ac:dyDescent="0.3">
      <c r="C3988" s="1"/>
    </row>
    <row r="3989" spans="3:4" x14ac:dyDescent="0.3">
      <c r="C3989" s="1"/>
    </row>
    <row r="3992" spans="3:4" x14ac:dyDescent="0.3">
      <c r="C3992" s="1"/>
      <c r="D3992" s="1"/>
    </row>
    <row r="3993" spans="3:4" x14ac:dyDescent="0.3">
      <c r="C3993" s="1"/>
      <c r="D3993" s="1"/>
    </row>
    <row r="3994" spans="3:4" x14ac:dyDescent="0.3">
      <c r="C3994" s="1"/>
      <c r="D3994" s="1"/>
    </row>
    <row r="3995" spans="3:4" x14ac:dyDescent="0.3">
      <c r="C3995" s="1"/>
      <c r="D3995" s="1"/>
    </row>
    <row r="3996" spans="3:4" x14ac:dyDescent="0.3">
      <c r="C3996" s="1"/>
      <c r="D3996" s="1"/>
    </row>
    <row r="3997" spans="3:4" x14ac:dyDescent="0.3">
      <c r="C3997" s="1"/>
      <c r="D3997" s="1"/>
    </row>
    <row r="3998" spans="3:4" x14ac:dyDescent="0.3">
      <c r="C3998" s="1"/>
      <c r="D3998" s="1"/>
    </row>
    <row r="3999" spans="3:4" x14ac:dyDescent="0.3">
      <c r="C3999" s="1"/>
      <c r="D3999" s="1"/>
    </row>
    <row r="4000" spans="3:4" x14ac:dyDescent="0.3">
      <c r="C4000" s="1"/>
      <c r="D4000" s="1"/>
    </row>
    <row r="4002" spans="3:4" x14ac:dyDescent="0.3">
      <c r="C4002" s="1"/>
    </row>
    <row r="4003" spans="3:4" x14ac:dyDescent="0.3">
      <c r="C4003" s="1"/>
    </row>
    <row r="4004" spans="3:4" x14ac:dyDescent="0.3">
      <c r="C4004" s="1"/>
      <c r="D4004" s="1"/>
    </row>
    <row r="4005" spans="3:4" x14ac:dyDescent="0.3">
      <c r="C4005" s="1"/>
      <c r="D4005" s="1"/>
    </row>
    <row r="4006" spans="3:4" x14ac:dyDescent="0.3">
      <c r="C4006" s="1"/>
      <c r="D4006" s="1"/>
    </row>
    <row r="4007" spans="3:4" x14ac:dyDescent="0.3">
      <c r="C4007" s="1"/>
    </row>
    <row r="4008" spans="3:4" x14ac:dyDescent="0.3">
      <c r="C4008" s="1"/>
    </row>
    <row r="4009" spans="3:4" x14ac:dyDescent="0.3">
      <c r="C4009" s="1"/>
    </row>
    <row r="4011" spans="3:4" x14ac:dyDescent="0.3">
      <c r="C4011" s="1"/>
      <c r="D4011" s="1"/>
    </row>
    <row r="4027" spans="3:3" x14ac:dyDescent="0.3">
      <c r="C4027" s="1"/>
    </row>
    <row r="4028" spans="3:3" x14ac:dyDescent="0.3">
      <c r="C4028" s="1"/>
    </row>
    <row r="4029" spans="3:3" x14ac:dyDescent="0.3">
      <c r="C4029" s="1"/>
    </row>
    <row r="4030" spans="3:3" x14ac:dyDescent="0.3">
      <c r="C4030" s="1"/>
    </row>
    <row r="4036" spans="3:4" x14ac:dyDescent="0.3">
      <c r="C4036" s="1"/>
      <c r="D4036" s="1"/>
    </row>
    <row r="4037" spans="3:4" x14ac:dyDescent="0.3">
      <c r="C4037" s="1"/>
      <c r="D4037" s="1"/>
    </row>
    <row r="4038" spans="3:4" x14ac:dyDescent="0.3">
      <c r="D4038" s="1"/>
    </row>
    <row r="4039" spans="3:4" x14ac:dyDescent="0.3">
      <c r="D4039" s="1"/>
    </row>
    <row r="4040" spans="3:4" x14ac:dyDescent="0.3">
      <c r="D4040" s="1"/>
    </row>
    <row r="4041" spans="3:4" x14ac:dyDescent="0.3">
      <c r="D4041" s="1"/>
    </row>
    <row r="4042" spans="3:4" x14ac:dyDescent="0.3">
      <c r="D4042" s="1"/>
    </row>
    <row r="4043" spans="3:4" x14ac:dyDescent="0.3">
      <c r="D4043" s="1"/>
    </row>
    <row r="4044" spans="3:4" x14ac:dyDescent="0.3">
      <c r="D4044" s="1"/>
    </row>
    <row r="4045" spans="3:4" x14ac:dyDescent="0.3">
      <c r="D4045" s="1"/>
    </row>
    <row r="4047" spans="3:4" x14ac:dyDescent="0.3">
      <c r="C4047" s="1"/>
      <c r="D4047" s="1"/>
    </row>
    <row r="4053" spans="3:4" x14ac:dyDescent="0.3">
      <c r="D4053" s="1"/>
    </row>
    <row r="4054" spans="3:4" x14ac:dyDescent="0.3">
      <c r="D4054" s="1"/>
    </row>
    <row r="4055" spans="3:4" x14ac:dyDescent="0.3">
      <c r="D4055" s="1"/>
    </row>
    <row r="4056" spans="3:4" x14ac:dyDescent="0.3">
      <c r="D4056" s="1"/>
    </row>
    <row r="4057" spans="3:4" x14ac:dyDescent="0.3">
      <c r="D4057" s="1"/>
    </row>
    <row r="4058" spans="3:4" x14ac:dyDescent="0.3">
      <c r="D4058" s="1"/>
    </row>
    <row r="4062" spans="3:4" x14ac:dyDescent="0.3">
      <c r="C4062" s="1"/>
      <c r="D4062" s="1"/>
    </row>
    <row r="4064" spans="3:4" x14ac:dyDescent="0.3">
      <c r="C4064" s="1"/>
    </row>
    <row r="4067" spans="3:4" x14ac:dyDescent="0.3">
      <c r="C4067" s="1"/>
      <c r="D4067" s="1"/>
    </row>
    <row r="4068" spans="3:4" x14ac:dyDescent="0.3">
      <c r="C4068" s="1"/>
      <c r="D4068" s="1"/>
    </row>
    <row r="4069" spans="3:4" x14ac:dyDescent="0.3">
      <c r="C4069" s="1"/>
      <c r="D4069" s="1"/>
    </row>
    <row r="4070" spans="3:4" x14ac:dyDescent="0.3">
      <c r="C4070" s="1"/>
      <c r="D4070" s="1"/>
    </row>
    <row r="4074" spans="3:4" x14ac:dyDescent="0.3">
      <c r="C4074" s="1"/>
      <c r="D4074" s="1"/>
    </row>
    <row r="4086" spans="3:4" x14ac:dyDescent="0.3">
      <c r="C4086" s="1"/>
      <c r="D4086" s="1"/>
    </row>
    <row r="4087" spans="3:4" x14ac:dyDescent="0.3">
      <c r="C4087" s="1"/>
      <c r="D4087" s="1"/>
    </row>
    <row r="4088" spans="3:4" x14ac:dyDescent="0.3">
      <c r="C4088" s="1"/>
      <c r="D4088" s="1"/>
    </row>
    <row r="4089" spans="3:4" x14ac:dyDescent="0.3">
      <c r="C4089" s="1"/>
      <c r="D4089" s="1"/>
    </row>
    <row r="4091" spans="3:4" x14ac:dyDescent="0.3">
      <c r="C4091" s="1"/>
      <c r="D4091" s="1"/>
    </row>
    <row r="4092" spans="3:4" x14ac:dyDescent="0.3">
      <c r="C4092" s="1"/>
      <c r="D4092" s="1"/>
    </row>
    <row r="4093" spans="3:4" x14ac:dyDescent="0.3">
      <c r="C4093" s="1"/>
      <c r="D4093" s="1"/>
    </row>
    <row r="4106" spans="3:4" x14ac:dyDescent="0.3">
      <c r="C4106" s="1"/>
    </row>
    <row r="4107" spans="3:4" x14ac:dyDescent="0.3">
      <c r="C4107" s="1"/>
    </row>
    <row r="4109" spans="3:4" x14ac:dyDescent="0.3">
      <c r="C4109" s="1"/>
      <c r="D4109" s="1"/>
    </row>
    <row r="4110" spans="3:4" x14ac:dyDescent="0.3">
      <c r="C4110" s="1"/>
      <c r="D4110" s="1"/>
    </row>
    <row r="4111" spans="3:4" x14ac:dyDescent="0.3">
      <c r="D4111" s="1"/>
    </row>
    <row r="4112" spans="3:4" x14ac:dyDescent="0.3">
      <c r="D4112" s="1"/>
    </row>
    <row r="4113" spans="3:4" x14ac:dyDescent="0.3">
      <c r="D4113" s="1"/>
    </row>
    <row r="4114" spans="3:4" x14ac:dyDescent="0.3">
      <c r="D4114" s="1"/>
    </row>
    <row r="4115" spans="3:4" x14ac:dyDescent="0.3">
      <c r="C4115" s="1"/>
      <c r="D4115" s="1"/>
    </row>
    <row r="4116" spans="3:4" x14ac:dyDescent="0.3">
      <c r="C4116" s="1"/>
      <c r="D4116" s="1"/>
    </row>
    <row r="4122" spans="3:4" x14ac:dyDescent="0.3">
      <c r="C4122" s="1"/>
      <c r="D4122" s="1"/>
    </row>
    <row r="4123" spans="3:4" x14ac:dyDescent="0.3">
      <c r="C4123" s="1"/>
      <c r="D4123" s="1"/>
    </row>
    <row r="4124" spans="3:4" x14ac:dyDescent="0.3">
      <c r="C4124" s="1"/>
      <c r="D4124" s="1"/>
    </row>
    <row r="4125" spans="3:4" x14ac:dyDescent="0.3">
      <c r="C4125" s="1"/>
      <c r="D4125" s="1"/>
    </row>
    <row r="4126" spans="3:4" x14ac:dyDescent="0.3">
      <c r="C4126" s="1"/>
    </row>
    <row r="4128" spans="3:4" x14ac:dyDescent="0.3">
      <c r="C4128" s="1"/>
      <c r="D4128" s="1"/>
    </row>
    <row r="4131" spans="3:4" x14ac:dyDescent="0.3">
      <c r="D4131" s="1"/>
    </row>
    <row r="4133" spans="3:4" x14ac:dyDescent="0.3">
      <c r="C4133" s="1"/>
      <c r="D4133" s="1"/>
    </row>
    <row r="4134" spans="3:4" x14ac:dyDescent="0.3">
      <c r="C4134" s="1"/>
      <c r="D4134" s="1"/>
    </row>
    <row r="4135" spans="3:4" x14ac:dyDescent="0.3">
      <c r="C4135" s="1"/>
    </row>
    <row r="4136" spans="3:4" x14ac:dyDescent="0.3">
      <c r="C4136" s="1"/>
    </row>
    <row r="4137" spans="3:4" x14ac:dyDescent="0.3">
      <c r="C4137" s="1"/>
      <c r="D4137" s="1"/>
    </row>
    <row r="4138" spans="3:4" x14ac:dyDescent="0.3">
      <c r="C4138" s="1"/>
      <c r="D4138" s="1"/>
    </row>
    <row r="4140" spans="3:4" x14ac:dyDescent="0.3">
      <c r="D4140" s="1"/>
    </row>
    <row r="4141" spans="3:4" x14ac:dyDescent="0.3">
      <c r="C4141" s="1"/>
      <c r="D4141" s="1"/>
    </row>
    <row r="4142" spans="3:4" x14ac:dyDescent="0.3">
      <c r="C4142" s="1"/>
      <c r="D4142" s="1"/>
    </row>
    <row r="4145" spans="3:4" x14ac:dyDescent="0.3">
      <c r="D4145" s="1"/>
    </row>
    <row r="4146" spans="3:4" x14ac:dyDescent="0.3">
      <c r="D4146" s="1"/>
    </row>
    <row r="4147" spans="3:4" x14ac:dyDescent="0.3">
      <c r="D4147" s="1"/>
    </row>
    <row r="4148" spans="3:4" x14ac:dyDescent="0.3">
      <c r="D4148" s="1"/>
    </row>
    <row r="4153" spans="3:4" x14ac:dyDescent="0.3">
      <c r="C4153" s="1"/>
      <c r="D4153" s="1"/>
    </row>
    <row r="4154" spans="3:4" x14ac:dyDescent="0.3">
      <c r="C4154" s="1"/>
      <c r="D4154" s="1"/>
    </row>
    <row r="4155" spans="3:4" x14ac:dyDescent="0.3">
      <c r="C4155" s="1"/>
      <c r="D4155" s="1"/>
    </row>
    <row r="4156" spans="3:4" x14ac:dyDescent="0.3">
      <c r="D4156" s="1"/>
    </row>
    <row r="4157" spans="3:4" x14ac:dyDescent="0.3">
      <c r="D4157" s="1"/>
    </row>
    <row r="4158" spans="3:4" x14ac:dyDescent="0.3">
      <c r="C4158" s="1"/>
      <c r="D4158" s="1"/>
    </row>
    <row r="4159" spans="3:4" x14ac:dyDescent="0.3">
      <c r="C4159" s="1"/>
      <c r="D4159" s="1"/>
    </row>
    <row r="4160" spans="3:4" x14ac:dyDescent="0.3">
      <c r="C4160" s="1"/>
      <c r="D4160" s="1"/>
    </row>
    <row r="4168" spans="3:4" x14ac:dyDescent="0.3">
      <c r="C4168" s="1"/>
    </row>
    <row r="4169" spans="3:4" x14ac:dyDescent="0.3">
      <c r="C4169" s="1"/>
    </row>
    <row r="4170" spans="3:4" x14ac:dyDescent="0.3">
      <c r="C4170" s="1"/>
    </row>
    <row r="4174" spans="3:4" x14ac:dyDescent="0.3">
      <c r="C4174" s="1"/>
      <c r="D4174" s="1"/>
    </row>
    <row r="4175" spans="3:4" x14ac:dyDescent="0.3">
      <c r="C4175" s="1"/>
      <c r="D4175" s="1"/>
    </row>
    <row r="4176" spans="3:4" x14ac:dyDescent="0.3">
      <c r="C4176" s="1"/>
      <c r="D4176" s="1"/>
    </row>
    <row r="4178" spans="3:4" x14ac:dyDescent="0.3">
      <c r="C4178" s="1"/>
      <c r="D4178" s="1"/>
    </row>
    <row r="4179" spans="3:4" x14ac:dyDescent="0.3">
      <c r="C4179" s="1"/>
      <c r="D4179" s="1"/>
    </row>
    <row r="4181" spans="3:4" x14ac:dyDescent="0.3">
      <c r="C4181" s="1"/>
      <c r="D4181" s="1"/>
    </row>
    <row r="4182" spans="3:4" x14ac:dyDescent="0.3">
      <c r="C4182" s="1"/>
      <c r="D4182" s="1"/>
    </row>
    <row r="4183" spans="3:4" x14ac:dyDescent="0.3">
      <c r="C4183" s="1"/>
      <c r="D4183" s="1"/>
    </row>
    <row r="4184" spans="3:4" x14ac:dyDescent="0.3">
      <c r="C4184" s="1"/>
      <c r="D4184" s="1"/>
    </row>
    <row r="4185" spans="3:4" x14ac:dyDescent="0.3">
      <c r="C4185" s="1"/>
      <c r="D4185" s="1"/>
    </row>
    <row r="4186" spans="3:4" x14ac:dyDescent="0.3">
      <c r="C4186" s="1"/>
      <c r="D4186" s="1"/>
    </row>
    <row r="4191" spans="3:4" x14ac:dyDescent="0.3">
      <c r="D4191" s="1"/>
    </row>
    <row r="4193" spans="3:4" x14ac:dyDescent="0.3">
      <c r="C4193" s="1"/>
      <c r="D4193" s="1"/>
    </row>
    <row r="4197" spans="3:4" x14ac:dyDescent="0.3">
      <c r="C4197" s="1"/>
    </row>
    <row r="4199" spans="3:4" x14ac:dyDescent="0.3">
      <c r="C4199" s="1"/>
      <c r="D4199" s="1"/>
    </row>
    <row r="4200" spans="3:4" x14ac:dyDescent="0.3">
      <c r="C4200" s="1"/>
      <c r="D4200" s="1"/>
    </row>
    <row r="4201" spans="3:4" x14ac:dyDescent="0.3">
      <c r="C4201" s="1"/>
      <c r="D4201" s="1"/>
    </row>
    <row r="4202" spans="3:4" x14ac:dyDescent="0.3">
      <c r="C4202" s="1"/>
      <c r="D4202" s="1"/>
    </row>
    <row r="4203" spans="3:4" x14ac:dyDescent="0.3">
      <c r="C4203" s="1"/>
      <c r="D4203" s="1"/>
    </row>
    <row r="4204" spans="3:4" x14ac:dyDescent="0.3">
      <c r="C4204" s="1"/>
      <c r="D4204" s="1"/>
    </row>
    <row r="4205" spans="3:4" x14ac:dyDescent="0.3">
      <c r="D4205" s="1"/>
    </row>
    <row r="4206" spans="3:4" x14ac:dyDescent="0.3">
      <c r="D4206" s="1"/>
    </row>
    <row r="4207" spans="3:4" x14ac:dyDescent="0.3">
      <c r="D4207" s="1"/>
    </row>
    <row r="4208" spans="3:4" x14ac:dyDescent="0.3">
      <c r="D4208" s="1"/>
    </row>
    <row r="4209" spans="3:4" x14ac:dyDescent="0.3">
      <c r="D4209" s="1"/>
    </row>
    <row r="4210" spans="3:4" x14ac:dyDescent="0.3">
      <c r="D4210" s="1"/>
    </row>
    <row r="4211" spans="3:4" x14ac:dyDescent="0.3">
      <c r="D4211" s="1"/>
    </row>
    <row r="4212" spans="3:4" x14ac:dyDescent="0.3">
      <c r="C4212" s="1"/>
    </row>
    <row r="4213" spans="3:4" x14ac:dyDescent="0.3">
      <c r="C4213" s="1"/>
      <c r="D4213" s="1"/>
    </row>
    <row r="4214" spans="3:4" x14ac:dyDescent="0.3">
      <c r="C4214" s="1"/>
      <c r="D4214" s="1"/>
    </row>
    <row r="4215" spans="3:4" x14ac:dyDescent="0.3">
      <c r="C4215" s="1"/>
      <c r="D4215" s="1"/>
    </row>
    <row r="4216" spans="3:4" x14ac:dyDescent="0.3">
      <c r="C4216" s="1"/>
      <c r="D4216" s="1"/>
    </row>
    <row r="4217" spans="3:4" x14ac:dyDescent="0.3">
      <c r="D4217" s="1"/>
    </row>
    <row r="4219" spans="3:4" x14ac:dyDescent="0.3">
      <c r="C4219" s="1"/>
      <c r="D4219" s="1"/>
    </row>
    <row r="4220" spans="3:4" x14ac:dyDescent="0.3">
      <c r="C4220" s="1"/>
      <c r="D4220" s="1"/>
    </row>
    <row r="4221" spans="3:4" x14ac:dyDescent="0.3">
      <c r="C4221" s="1"/>
    </row>
    <row r="4222" spans="3:4" x14ac:dyDescent="0.3">
      <c r="C4222" s="1"/>
    </row>
    <row r="4223" spans="3:4" x14ac:dyDescent="0.3">
      <c r="C4223" s="1"/>
    </row>
    <row r="4224" spans="3:4" x14ac:dyDescent="0.3">
      <c r="C4224" s="1"/>
    </row>
    <row r="4225" spans="3:4" x14ac:dyDescent="0.3">
      <c r="C4225" s="1"/>
    </row>
    <row r="4226" spans="3:4" x14ac:dyDescent="0.3">
      <c r="D4226" s="1"/>
    </row>
    <row r="4228" spans="3:4" x14ac:dyDescent="0.3">
      <c r="C4228" s="1"/>
    </row>
    <row r="4229" spans="3:4" x14ac:dyDescent="0.3">
      <c r="C4229" s="1"/>
      <c r="D4229" s="1"/>
    </row>
    <row r="4231" spans="3:4" x14ac:dyDescent="0.3">
      <c r="C4231" s="1"/>
      <c r="D4231" s="1"/>
    </row>
    <row r="4232" spans="3:4" x14ac:dyDescent="0.3">
      <c r="C4232" s="1"/>
      <c r="D4232" s="1"/>
    </row>
    <row r="4233" spans="3:4" x14ac:dyDescent="0.3">
      <c r="C4233" s="1"/>
      <c r="D4233" s="1"/>
    </row>
    <row r="4234" spans="3:4" x14ac:dyDescent="0.3">
      <c r="C4234" s="1"/>
      <c r="D4234" s="1"/>
    </row>
    <row r="4235" spans="3:4" x14ac:dyDescent="0.3">
      <c r="C4235" s="1"/>
      <c r="D4235" s="1"/>
    </row>
    <row r="4239" spans="3:4" x14ac:dyDescent="0.3">
      <c r="D4239" s="1"/>
    </row>
    <row r="4241" spans="3:4" x14ac:dyDescent="0.3">
      <c r="D4241" s="1"/>
    </row>
    <row r="4244" spans="3:4" x14ac:dyDescent="0.3">
      <c r="C4244" s="1"/>
      <c r="D4244" s="1"/>
    </row>
    <row r="4245" spans="3:4" x14ac:dyDescent="0.3">
      <c r="C4245" s="1"/>
      <c r="D4245" s="1"/>
    </row>
    <row r="4247" spans="3:4" x14ac:dyDescent="0.3">
      <c r="D4247" s="1"/>
    </row>
    <row r="4248" spans="3:4" x14ac:dyDescent="0.3">
      <c r="D4248" s="1"/>
    </row>
    <row r="4249" spans="3:4" x14ac:dyDescent="0.3">
      <c r="D4249" s="1"/>
    </row>
    <row r="4250" spans="3:4" x14ac:dyDescent="0.3">
      <c r="C4250" s="1"/>
      <c r="D4250" s="1"/>
    </row>
    <row r="4251" spans="3:4" x14ac:dyDescent="0.3">
      <c r="C4251" s="1"/>
      <c r="D4251" s="1"/>
    </row>
    <row r="4259" spans="3:4" x14ac:dyDescent="0.3">
      <c r="C4259" s="1"/>
      <c r="D4259" s="1"/>
    </row>
    <row r="4261" spans="3:4" x14ac:dyDescent="0.3">
      <c r="D4261" s="1"/>
    </row>
    <row r="4263" spans="3:4" x14ac:dyDescent="0.3">
      <c r="C4263" s="1"/>
      <c r="D4263" s="1"/>
    </row>
    <row r="4265" spans="3:4" x14ac:dyDescent="0.3">
      <c r="C4265" s="1"/>
      <c r="D4265" s="1"/>
    </row>
    <row r="4266" spans="3:4" x14ac:dyDescent="0.3">
      <c r="C4266" s="1"/>
      <c r="D4266" s="1"/>
    </row>
    <row r="4267" spans="3:4" x14ac:dyDescent="0.3">
      <c r="C4267" s="1"/>
      <c r="D4267" s="1"/>
    </row>
    <row r="4268" spans="3:4" x14ac:dyDescent="0.3">
      <c r="C4268" s="1"/>
      <c r="D4268" s="1"/>
    </row>
    <row r="4269" spans="3:4" x14ac:dyDescent="0.3">
      <c r="C4269" s="1"/>
      <c r="D4269" s="1"/>
    </row>
    <row r="4270" spans="3:4" x14ac:dyDescent="0.3">
      <c r="C4270" s="1"/>
      <c r="D4270" s="1"/>
    </row>
    <row r="4277" spans="3:3" x14ac:dyDescent="0.3">
      <c r="C4277" s="1"/>
    </row>
    <row r="4289" spans="3:4" x14ac:dyDescent="0.3">
      <c r="D4289" s="1"/>
    </row>
    <row r="4292" spans="3:4" x14ac:dyDescent="0.3">
      <c r="C4292" s="1"/>
    </row>
    <row r="4293" spans="3:4" x14ac:dyDescent="0.3">
      <c r="C4293" s="1"/>
    </row>
    <row r="4294" spans="3:4" x14ac:dyDescent="0.3">
      <c r="C4294" s="1"/>
    </row>
    <row r="4295" spans="3:4" x14ac:dyDescent="0.3">
      <c r="C4295" s="1"/>
    </row>
    <row r="4297" spans="3:4" x14ac:dyDescent="0.3">
      <c r="C4297" s="1"/>
      <c r="D4297" s="1"/>
    </row>
    <row r="4298" spans="3:4" x14ac:dyDescent="0.3">
      <c r="C4298" s="1"/>
      <c r="D4298" s="1"/>
    </row>
    <row r="4305" spans="3:4" x14ac:dyDescent="0.3">
      <c r="C4305" s="1"/>
      <c r="D4305" s="1"/>
    </row>
    <row r="4310" spans="3:4" x14ac:dyDescent="0.3">
      <c r="C4310" s="1"/>
      <c r="D4310" s="1"/>
    </row>
    <row r="4311" spans="3:4" x14ac:dyDescent="0.3">
      <c r="C4311" s="1"/>
      <c r="D4311" s="1"/>
    </row>
    <row r="4312" spans="3:4" x14ac:dyDescent="0.3">
      <c r="C4312" s="1"/>
      <c r="D4312" s="1"/>
    </row>
    <row r="4313" spans="3:4" x14ac:dyDescent="0.3">
      <c r="C4313" s="1"/>
      <c r="D4313" s="1"/>
    </row>
    <row r="4314" spans="3:4" x14ac:dyDescent="0.3">
      <c r="C4314" s="1"/>
      <c r="D4314" s="1"/>
    </row>
    <row r="4315" spans="3:4" x14ac:dyDescent="0.3">
      <c r="C4315" s="1"/>
      <c r="D4315" s="1"/>
    </row>
    <row r="4316" spans="3:4" x14ac:dyDescent="0.3">
      <c r="D4316" s="1"/>
    </row>
    <row r="4317" spans="3:4" x14ac:dyDescent="0.3">
      <c r="D4317" s="1"/>
    </row>
    <row r="4318" spans="3:4" x14ac:dyDescent="0.3">
      <c r="D4318" s="1"/>
    </row>
    <row r="4319" spans="3:4" x14ac:dyDescent="0.3">
      <c r="D4319" s="1"/>
    </row>
    <row r="4320" spans="3:4" x14ac:dyDescent="0.3">
      <c r="C4320" s="1"/>
      <c r="D4320" s="1"/>
    </row>
    <row r="4321" spans="3:4" x14ac:dyDescent="0.3">
      <c r="D4321" s="1"/>
    </row>
    <row r="4322" spans="3:4" x14ac:dyDescent="0.3">
      <c r="D4322" s="1"/>
    </row>
    <row r="4330" spans="3:4" x14ac:dyDescent="0.3">
      <c r="C4330" s="1"/>
      <c r="D4330" s="1"/>
    </row>
    <row r="4331" spans="3:4" x14ac:dyDescent="0.3">
      <c r="C4331" s="1"/>
      <c r="D4331" s="1"/>
    </row>
    <row r="4332" spans="3:4" x14ac:dyDescent="0.3">
      <c r="C4332" s="1"/>
      <c r="D4332" s="1"/>
    </row>
    <row r="4333" spans="3:4" x14ac:dyDescent="0.3">
      <c r="C4333" s="1"/>
      <c r="D4333" s="1"/>
    </row>
    <row r="4334" spans="3:4" x14ac:dyDescent="0.3">
      <c r="C4334" s="1"/>
      <c r="D4334" s="1"/>
    </row>
    <row r="4339" spans="3:4" x14ac:dyDescent="0.3">
      <c r="D4339" s="1"/>
    </row>
    <row r="4340" spans="3:4" x14ac:dyDescent="0.3">
      <c r="D4340" s="1"/>
    </row>
    <row r="4341" spans="3:4" x14ac:dyDescent="0.3">
      <c r="D4341" s="1"/>
    </row>
    <row r="4352" spans="3:4" x14ac:dyDescent="0.3">
      <c r="C4352" s="1"/>
    </row>
    <row r="4353" spans="3:4" x14ac:dyDescent="0.3">
      <c r="C4353" s="1"/>
    </row>
    <row r="4354" spans="3:4" x14ac:dyDescent="0.3">
      <c r="C4354" s="1"/>
      <c r="D4354" s="1"/>
    </row>
    <row r="4355" spans="3:4" x14ac:dyDescent="0.3">
      <c r="C4355" s="1"/>
      <c r="D4355" s="1"/>
    </row>
    <row r="4357" spans="3:4" x14ac:dyDescent="0.3">
      <c r="C4357" s="1"/>
      <c r="D4357" s="1"/>
    </row>
    <row r="4358" spans="3:4" x14ac:dyDescent="0.3">
      <c r="C4358" s="1"/>
      <c r="D4358" s="1"/>
    </row>
    <row r="4359" spans="3:4" x14ac:dyDescent="0.3">
      <c r="C4359" s="1"/>
      <c r="D4359" s="1"/>
    </row>
    <row r="4360" spans="3:4" x14ac:dyDescent="0.3">
      <c r="C4360" s="1"/>
      <c r="D4360" s="1"/>
    </row>
    <row r="4361" spans="3:4" x14ac:dyDescent="0.3">
      <c r="C4361" s="1"/>
      <c r="D4361" s="1"/>
    </row>
    <row r="4369" spans="3:4" x14ac:dyDescent="0.3">
      <c r="C4369" s="1"/>
    </row>
    <row r="4370" spans="3:4" x14ac:dyDescent="0.3">
      <c r="C4370" s="1"/>
    </row>
    <row r="4371" spans="3:4" x14ac:dyDescent="0.3">
      <c r="C4371" s="1"/>
      <c r="D4371" s="1"/>
    </row>
    <row r="4372" spans="3:4" x14ac:dyDescent="0.3">
      <c r="C4372" s="1"/>
      <c r="D4372" s="1"/>
    </row>
    <row r="4373" spans="3:4" x14ac:dyDescent="0.3">
      <c r="C4373" s="1"/>
      <c r="D4373" s="1"/>
    </row>
    <row r="4380" spans="3:4" x14ac:dyDescent="0.3">
      <c r="D4380" s="1"/>
    </row>
    <row r="4381" spans="3:4" x14ac:dyDescent="0.3">
      <c r="D4381" s="1"/>
    </row>
    <row r="4388" spans="3:4" x14ac:dyDescent="0.3">
      <c r="D4388" s="1"/>
    </row>
    <row r="4389" spans="3:4" x14ac:dyDescent="0.3">
      <c r="D4389" s="1"/>
    </row>
    <row r="4394" spans="3:4" x14ac:dyDescent="0.3">
      <c r="C4394" s="1"/>
      <c r="D4394" s="1"/>
    </row>
    <row r="4395" spans="3:4" x14ac:dyDescent="0.3">
      <c r="C4395" s="1"/>
      <c r="D4395" s="1"/>
    </row>
    <row r="4399" spans="3:4" x14ac:dyDescent="0.3">
      <c r="C4399" s="1"/>
      <c r="D4399" s="1"/>
    </row>
    <row r="4400" spans="3:4" x14ac:dyDescent="0.3">
      <c r="C4400" s="1"/>
      <c r="D4400" s="1"/>
    </row>
    <row r="4405" spans="3:4" x14ac:dyDescent="0.3">
      <c r="C4405" s="1"/>
      <c r="D4405" s="1"/>
    </row>
    <row r="4406" spans="3:4" x14ac:dyDescent="0.3">
      <c r="C4406" s="1"/>
      <c r="D4406" s="1"/>
    </row>
    <row r="4407" spans="3:4" x14ac:dyDescent="0.3">
      <c r="C4407" s="1"/>
      <c r="D4407" s="1"/>
    </row>
    <row r="4411" spans="3:4" x14ac:dyDescent="0.3">
      <c r="C4411" s="1"/>
      <c r="D4411" s="1"/>
    </row>
    <row r="4412" spans="3:4" x14ac:dyDescent="0.3">
      <c r="C4412" s="1"/>
      <c r="D4412" s="1"/>
    </row>
    <row r="4417" spans="3:4" x14ac:dyDescent="0.3">
      <c r="D4417" s="1"/>
    </row>
    <row r="4418" spans="3:4" x14ac:dyDescent="0.3">
      <c r="D4418" s="1"/>
    </row>
    <row r="4419" spans="3:4" x14ac:dyDescent="0.3">
      <c r="C4419" s="1"/>
      <c r="D4419" s="1"/>
    </row>
    <row r="4423" spans="3:4" x14ac:dyDescent="0.3">
      <c r="C4423" s="1"/>
      <c r="D4423" s="1"/>
    </row>
    <row r="4432" spans="3:4" x14ac:dyDescent="0.3">
      <c r="C4432" s="1"/>
      <c r="D4432" s="1"/>
    </row>
    <row r="4433" spans="3:4" x14ac:dyDescent="0.3">
      <c r="C4433" s="1"/>
      <c r="D4433" s="1"/>
    </row>
    <row r="4434" spans="3:4" x14ac:dyDescent="0.3">
      <c r="C4434" s="1"/>
      <c r="D4434" s="1"/>
    </row>
    <row r="4435" spans="3:4" x14ac:dyDescent="0.3">
      <c r="C4435" s="1"/>
      <c r="D4435" s="1"/>
    </row>
    <row r="4436" spans="3:4" x14ac:dyDescent="0.3">
      <c r="C4436" s="1"/>
      <c r="D4436" s="1"/>
    </row>
    <row r="4437" spans="3:4" x14ac:dyDescent="0.3">
      <c r="C4437" s="1"/>
      <c r="D4437" s="1"/>
    </row>
    <row r="4438" spans="3:4" x14ac:dyDescent="0.3">
      <c r="C4438" s="1"/>
      <c r="D4438" s="1"/>
    </row>
    <row r="4439" spans="3:4" x14ac:dyDescent="0.3">
      <c r="C4439" s="1"/>
      <c r="D4439" s="1"/>
    </row>
    <row r="4440" spans="3:4" x14ac:dyDescent="0.3">
      <c r="D4440" s="1"/>
    </row>
    <row r="4441" spans="3:4" x14ac:dyDescent="0.3">
      <c r="D4441" s="1"/>
    </row>
    <row r="4453" spans="3:4" x14ac:dyDescent="0.3">
      <c r="C4453" s="1"/>
      <c r="D4453" s="1"/>
    </row>
    <row r="4454" spans="3:4" x14ac:dyDescent="0.3">
      <c r="C4454" s="1"/>
      <c r="D4454" s="1"/>
    </row>
    <row r="4455" spans="3:4" x14ac:dyDescent="0.3">
      <c r="C4455" s="1"/>
      <c r="D4455" s="1"/>
    </row>
    <row r="4456" spans="3:4" x14ac:dyDescent="0.3">
      <c r="C4456" s="1"/>
      <c r="D4456" s="1"/>
    </row>
    <row r="4457" spans="3:4" x14ac:dyDescent="0.3">
      <c r="C4457" s="1"/>
      <c r="D4457" s="1"/>
    </row>
    <row r="4458" spans="3:4" x14ac:dyDescent="0.3">
      <c r="C4458" s="1"/>
      <c r="D4458" s="1"/>
    </row>
    <row r="4459" spans="3:4" x14ac:dyDescent="0.3">
      <c r="C4459" s="1"/>
      <c r="D4459" s="1"/>
    </row>
    <row r="4461" spans="3:4" x14ac:dyDescent="0.3">
      <c r="D4461" s="1"/>
    </row>
    <row r="4462" spans="3:4" x14ac:dyDescent="0.3">
      <c r="D4462" s="1"/>
    </row>
    <row r="4463" spans="3:4" x14ac:dyDescent="0.3">
      <c r="D4463" s="1"/>
    </row>
    <row r="4464" spans="3:4" x14ac:dyDescent="0.3">
      <c r="D4464" s="1"/>
    </row>
    <row r="4465" spans="3:4" x14ac:dyDescent="0.3">
      <c r="D4465" s="1"/>
    </row>
    <row r="4466" spans="3:4" x14ac:dyDescent="0.3">
      <c r="D4466" s="1"/>
    </row>
    <row r="4467" spans="3:4" x14ac:dyDescent="0.3">
      <c r="C4467" s="1"/>
      <c r="D4467" s="1"/>
    </row>
    <row r="4468" spans="3:4" x14ac:dyDescent="0.3">
      <c r="D4468" s="1"/>
    </row>
    <row r="4469" spans="3:4" x14ac:dyDescent="0.3">
      <c r="D4469" s="1"/>
    </row>
    <row r="4470" spans="3:4" x14ac:dyDescent="0.3">
      <c r="D4470" s="1"/>
    </row>
    <row r="4471" spans="3:4" x14ac:dyDescent="0.3">
      <c r="D4471" s="1"/>
    </row>
    <row r="4472" spans="3:4" x14ac:dyDescent="0.3">
      <c r="C4472" s="1"/>
      <c r="D4472" s="1"/>
    </row>
    <row r="4482" spans="3:4" x14ac:dyDescent="0.3">
      <c r="C4482" s="1"/>
      <c r="D4482" s="1"/>
    </row>
    <row r="4483" spans="3:4" x14ac:dyDescent="0.3">
      <c r="C4483" s="1"/>
      <c r="D4483" s="1"/>
    </row>
    <row r="4484" spans="3:4" x14ac:dyDescent="0.3">
      <c r="C4484" s="1"/>
      <c r="D4484" s="1"/>
    </row>
    <row r="4485" spans="3:4" x14ac:dyDescent="0.3">
      <c r="C4485" s="1"/>
      <c r="D4485" s="1"/>
    </row>
    <row r="4486" spans="3:4" x14ac:dyDescent="0.3">
      <c r="C4486" s="1"/>
      <c r="D4486" s="1"/>
    </row>
    <row r="4487" spans="3:4" x14ac:dyDescent="0.3">
      <c r="C4487" s="1"/>
      <c r="D4487" s="1"/>
    </row>
    <row r="4488" spans="3:4" x14ac:dyDescent="0.3">
      <c r="C4488" s="1"/>
      <c r="D4488" s="1"/>
    </row>
    <row r="4489" spans="3:4" x14ac:dyDescent="0.3">
      <c r="C4489" s="1"/>
      <c r="D4489" s="1"/>
    </row>
    <row r="4490" spans="3:4" x14ac:dyDescent="0.3">
      <c r="C4490" s="1"/>
      <c r="D4490" s="1"/>
    </row>
    <row r="4491" spans="3:4" x14ac:dyDescent="0.3">
      <c r="C4491" s="1"/>
      <c r="D4491" s="1"/>
    </row>
    <row r="4493" spans="3:4" x14ac:dyDescent="0.3">
      <c r="C4493" s="1"/>
      <c r="D4493" s="1"/>
    </row>
    <row r="4494" spans="3:4" x14ac:dyDescent="0.3">
      <c r="C4494" s="1"/>
      <c r="D4494" s="1"/>
    </row>
    <row r="4495" spans="3:4" x14ac:dyDescent="0.3">
      <c r="C4495" s="1"/>
      <c r="D4495" s="1"/>
    </row>
    <row r="4496" spans="3:4" x14ac:dyDescent="0.3">
      <c r="C4496" s="1"/>
      <c r="D4496" s="1"/>
    </row>
    <row r="4499" spans="3:4" x14ac:dyDescent="0.3">
      <c r="C4499" s="1"/>
      <c r="D4499" s="1"/>
    </row>
    <row r="4501" spans="3:4" x14ac:dyDescent="0.3">
      <c r="C4501" s="1"/>
    </row>
    <row r="4502" spans="3:4" x14ac:dyDescent="0.3">
      <c r="C4502" s="1"/>
    </row>
    <row r="4503" spans="3:4" x14ac:dyDescent="0.3">
      <c r="D4503" s="1"/>
    </row>
    <row r="4504" spans="3:4" x14ac:dyDescent="0.3">
      <c r="D4504" s="1"/>
    </row>
    <row r="4512" spans="3:4" x14ac:dyDescent="0.3">
      <c r="C4512" s="1"/>
    </row>
    <row r="4513" spans="3:4" x14ac:dyDescent="0.3">
      <c r="C4513" s="1"/>
    </row>
    <row r="4514" spans="3:4" x14ac:dyDescent="0.3">
      <c r="C4514" s="1"/>
      <c r="D4514" s="1"/>
    </row>
    <row r="4515" spans="3:4" x14ac:dyDescent="0.3">
      <c r="C4515" s="1"/>
      <c r="D4515" s="1"/>
    </row>
    <row r="4516" spans="3:4" x14ac:dyDescent="0.3">
      <c r="D4516" s="1"/>
    </row>
    <row r="4520" spans="3:4" x14ac:dyDescent="0.3">
      <c r="D4520" s="1"/>
    </row>
    <row r="4521" spans="3:4" x14ac:dyDescent="0.3">
      <c r="C4521" s="1"/>
    </row>
    <row r="4525" spans="3:4" x14ac:dyDescent="0.3">
      <c r="C4525" s="1"/>
      <c r="D4525" s="1"/>
    </row>
    <row r="4526" spans="3:4" x14ac:dyDescent="0.3">
      <c r="C4526" s="1"/>
      <c r="D4526" s="1"/>
    </row>
    <row r="4530" spans="3:4" x14ac:dyDescent="0.3">
      <c r="C4530" s="1"/>
      <c r="D4530" s="1"/>
    </row>
    <row r="4534" spans="3:4" x14ac:dyDescent="0.3">
      <c r="C4534" s="1"/>
      <c r="D4534" s="1"/>
    </row>
    <row r="4535" spans="3:4" x14ac:dyDescent="0.3">
      <c r="C4535" s="1"/>
      <c r="D4535" s="1"/>
    </row>
    <row r="4537" spans="3:4" x14ac:dyDescent="0.3">
      <c r="C4537" s="1"/>
      <c r="D4537" s="1"/>
    </row>
    <row r="4538" spans="3:4" x14ac:dyDescent="0.3">
      <c r="C4538" s="1"/>
      <c r="D4538" s="1"/>
    </row>
    <row r="4539" spans="3:4" x14ac:dyDescent="0.3">
      <c r="C4539" s="1"/>
      <c r="D4539" s="1"/>
    </row>
    <row r="4540" spans="3:4" x14ac:dyDescent="0.3">
      <c r="C4540" s="1"/>
      <c r="D4540" s="1"/>
    </row>
    <row r="4541" spans="3:4" x14ac:dyDescent="0.3">
      <c r="D4541" s="1"/>
    </row>
    <row r="4542" spans="3:4" x14ac:dyDescent="0.3">
      <c r="D4542" s="1"/>
    </row>
    <row r="4545" spans="3:4" x14ac:dyDescent="0.3">
      <c r="C4545" s="1"/>
    </row>
    <row r="4546" spans="3:4" x14ac:dyDescent="0.3">
      <c r="C4546" s="1"/>
    </row>
    <row r="4547" spans="3:4" x14ac:dyDescent="0.3">
      <c r="C4547" s="1"/>
    </row>
    <row r="4548" spans="3:4" x14ac:dyDescent="0.3">
      <c r="C4548" s="1"/>
    </row>
    <row r="4549" spans="3:4" x14ac:dyDescent="0.3">
      <c r="C4549" s="1"/>
    </row>
    <row r="4550" spans="3:4" x14ac:dyDescent="0.3">
      <c r="C4550" s="1"/>
    </row>
    <row r="4551" spans="3:4" x14ac:dyDescent="0.3">
      <c r="C4551" s="1"/>
    </row>
    <row r="4552" spans="3:4" x14ac:dyDescent="0.3">
      <c r="D4552" s="1"/>
    </row>
    <row r="4554" spans="3:4" x14ac:dyDescent="0.3">
      <c r="D4554" s="1"/>
    </row>
    <row r="4555" spans="3:4" x14ac:dyDescent="0.3">
      <c r="D4555" s="1"/>
    </row>
    <row r="4556" spans="3:4" x14ac:dyDescent="0.3">
      <c r="D4556" s="1"/>
    </row>
    <row r="4560" spans="3:4" x14ac:dyDescent="0.3">
      <c r="D4560" s="1"/>
    </row>
    <row r="4561" spans="3:4" x14ac:dyDescent="0.3">
      <c r="C4561" s="1"/>
      <c r="D4561" s="1"/>
    </row>
    <row r="4562" spans="3:4" x14ac:dyDescent="0.3">
      <c r="C4562" s="1"/>
      <c r="D4562" s="1"/>
    </row>
    <row r="4563" spans="3:4" x14ac:dyDescent="0.3">
      <c r="C4563" s="1"/>
      <c r="D4563" s="1"/>
    </row>
    <row r="4564" spans="3:4" x14ac:dyDescent="0.3">
      <c r="C4564" s="1"/>
      <c r="D4564" s="1"/>
    </row>
    <row r="4566" spans="3:4" x14ac:dyDescent="0.3">
      <c r="C4566" s="1"/>
    </row>
    <row r="4567" spans="3:4" x14ac:dyDescent="0.3">
      <c r="C4567" s="1"/>
      <c r="D4567" s="1"/>
    </row>
    <row r="4568" spans="3:4" x14ac:dyDescent="0.3">
      <c r="C4568" s="1"/>
      <c r="D4568" s="1"/>
    </row>
    <row r="4569" spans="3:4" x14ac:dyDescent="0.3">
      <c r="C4569" s="1"/>
      <c r="D4569" s="1"/>
    </row>
    <row r="4570" spans="3:4" x14ac:dyDescent="0.3">
      <c r="C4570" s="1"/>
    </row>
    <row r="4575" spans="3:4" x14ac:dyDescent="0.3">
      <c r="C4575" s="1"/>
    </row>
    <row r="4576" spans="3:4" x14ac:dyDescent="0.3">
      <c r="C4576" s="1"/>
    </row>
    <row r="4577" spans="3:4" x14ac:dyDescent="0.3">
      <c r="C4577" s="1"/>
    </row>
    <row r="4578" spans="3:4" x14ac:dyDescent="0.3">
      <c r="C4578" s="1"/>
    </row>
    <row r="4579" spans="3:4" x14ac:dyDescent="0.3">
      <c r="C4579" s="1"/>
    </row>
    <row r="4580" spans="3:4" x14ac:dyDescent="0.3">
      <c r="C4580" s="1"/>
    </row>
    <row r="4581" spans="3:4" x14ac:dyDescent="0.3">
      <c r="D4581" s="1"/>
    </row>
    <row r="4582" spans="3:4" x14ac:dyDescent="0.3">
      <c r="D4582" s="1"/>
    </row>
    <row r="4584" spans="3:4" x14ac:dyDescent="0.3">
      <c r="C4584" s="1"/>
      <c r="D4584" s="1"/>
    </row>
    <row r="4586" spans="3:4" x14ac:dyDescent="0.3">
      <c r="C4586" s="1"/>
      <c r="D4586" s="1"/>
    </row>
    <row r="4587" spans="3:4" x14ac:dyDescent="0.3">
      <c r="C4587" s="1"/>
      <c r="D4587" s="1"/>
    </row>
    <row r="4588" spans="3:4" x14ac:dyDescent="0.3">
      <c r="C4588" s="1"/>
      <c r="D4588" s="1"/>
    </row>
    <row r="4589" spans="3:4" x14ac:dyDescent="0.3">
      <c r="C4589" s="1"/>
      <c r="D4589" s="1"/>
    </row>
    <row r="4590" spans="3:4" x14ac:dyDescent="0.3">
      <c r="C4590" s="1"/>
      <c r="D4590" s="1"/>
    </row>
    <row r="4591" spans="3:4" x14ac:dyDescent="0.3">
      <c r="C4591" s="1"/>
      <c r="D4591" s="1"/>
    </row>
    <row r="4598" spans="3:4" x14ac:dyDescent="0.3">
      <c r="C4598" s="1"/>
      <c r="D4598" s="1"/>
    </row>
    <row r="4599" spans="3:4" x14ac:dyDescent="0.3">
      <c r="D4599" s="1"/>
    </row>
    <row r="4600" spans="3:4" x14ac:dyDescent="0.3">
      <c r="D4600" s="1"/>
    </row>
    <row r="4608" spans="3:4" x14ac:dyDescent="0.3">
      <c r="D4608" s="1"/>
    </row>
    <row r="4609" spans="3:4" x14ac:dyDescent="0.3">
      <c r="D4609" s="1"/>
    </row>
    <row r="4610" spans="3:4" x14ac:dyDescent="0.3">
      <c r="D4610" s="1"/>
    </row>
    <row r="4611" spans="3:4" x14ac:dyDescent="0.3">
      <c r="D4611" s="1"/>
    </row>
    <row r="4612" spans="3:4" x14ac:dyDescent="0.3">
      <c r="C4612" s="1"/>
    </row>
    <row r="4614" spans="3:4" x14ac:dyDescent="0.3">
      <c r="D4614" s="1"/>
    </row>
    <row r="4615" spans="3:4" x14ac:dyDescent="0.3">
      <c r="D4615" s="1"/>
    </row>
    <row r="4616" spans="3:4" x14ac:dyDescent="0.3">
      <c r="C4616" s="1"/>
      <c r="D4616" s="1"/>
    </row>
    <row r="4617" spans="3:4" x14ac:dyDescent="0.3">
      <c r="C4617" s="1"/>
      <c r="D4617" s="1"/>
    </row>
    <row r="4618" spans="3:4" x14ac:dyDescent="0.3">
      <c r="C4618" s="1"/>
      <c r="D4618" s="1"/>
    </row>
    <row r="4623" spans="3:4" x14ac:dyDescent="0.3">
      <c r="C4623" s="1"/>
      <c r="D4623" s="1"/>
    </row>
    <row r="4624" spans="3:4" x14ac:dyDescent="0.3">
      <c r="C4624" s="1"/>
    </row>
    <row r="4625" spans="3:4" x14ac:dyDescent="0.3">
      <c r="C4625" s="1"/>
    </row>
    <row r="4626" spans="3:4" x14ac:dyDescent="0.3">
      <c r="C4626" s="1"/>
    </row>
    <row r="4627" spans="3:4" x14ac:dyDescent="0.3">
      <c r="C4627" s="1"/>
    </row>
    <row r="4633" spans="3:4" x14ac:dyDescent="0.3">
      <c r="C4633" s="1"/>
      <c r="D4633" s="1"/>
    </row>
    <row r="4634" spans="3:4" x14ac:dyDescent="0.3">
      <c r="C4634" s="1"/>
      <c r="D4634" s="1"/>
    </row>
    <row r="4637" spans="3:4" x14ac:dyDescent="0.3">
      <c r="C4637" s="1"/>
    </row>
    <row r="4641" spans="3:4" x14ac:dyDescent="0.3">
      <c r="C4641" s="1"/>
    </row>
    <row r="4642" spans="3:4" x14ac:dyDescent="0.3">
      <c r="C4642" s="1"/>
    </row>
    <row r="4645" spans="3:4" x14ac:dyDescent="0.3">
      <c r="C4645" s="1"/>
      <c r="D4645" s="1"/>
    </row>
    <row r="4646" spans="3:4" x14ac:dyDescent="0.3">
      <c r="C4646" s="1"/>
      <c r="D4646" s="1"/>
    </row>
    <row r="4647" spans="3:4" x14ac:dyDescent="0.3">
      <c r="C4647" s="1"/>
    </row>
    <row r="4648" spans="3:4" x14ac:dyDescent="0.3">
      <c r="D4648" s="1"/>
    </row>
    <row r="4649" spans="3:4" x14ac:dyDescent="0.3">
      <c r="D4649" s="1"/>
    </row>
    <row r="4652" spans="3:4" x14ac:dyDescent="0.3">
      <c r="C4652" s="1"/>
      <c r="D4652" s="1"/>
    </row>
    <row r="4653" spans="3:4" x14ac:dyDescent="0.3">
      <c r="C4653" s="1"/>
      <c r="D4653" s="1"/>
    </row>
    <row r="4657" spans="3:4" x14ac:dyDescent="0.3">
      <c r="C4657" s="1"/>
      <c r="D4657" s="1"/>
    </row>
    <row r="4658" spans="3:4" x14ac:dyDescent="0.3">
      <c r="C4658" s="1"/>
      <c r="D4658" s="1"/>
    </row>
    <row r="4659" spans="3:4" x14ac:dyDescent="0.3">
      <c r="C4659" s="1"/>
      <c r="D4659" s="1"/>
    </row>
    <row r="4660" spans="3:4" x14ac:dyDescent="0.3">
      <c r="C4660" s="1"/>
      <c r="D4660" s="1"/>
    </row>
    <row r="4661" spans="3:4" x14ac:dyDescent="0.3">
      <c r="C4661" s="1"/>
      <c r="D4661" s="1"/>
    </row>
    <row r="4662" spans="3:4" x14ac:dyDescent="0.3">
      <c r="C4662" s="1"/>
      <c r="D4662" s="1"/>
    </row>
    <row r="4663" spans="3:4" x14ac:dyDescent="0.3">
      <c r="C4663" s="1"/>
      <c r="D4663" s="1"/>
    </row>
    <row r="4664" spans="3:4" x14ac:dyDescent="0.3">
      <c r="C4664" s="1"/>
      <c r="D4664" s="1"/>
    </row>
    <row r="4668" spans="3:4" x14ac:dyDescent="0.3">
      <c r="C4668" s="1"/>
    </row>
    <row r="4669" spans="3:4" x14ac:dyDescent="0.3">
      <c r="C4669" s="1"/>
    </row>
    <row r="4670" spans="3:4" x14ac:dyDescent="0.3">
      <c r="C4670" s="1"/>
      <c r="D4670" s="1"/>
    </row>
    <row r="4671" spans="3:4" x14ac:dyDescent="0.3">
      <c r="C4671" s="1"/>
      <c r="D4671" s="1"/>
    </row>
    <row r="4672" spans="3:4" x14ac:dyDescent="0.3">
      <c r="C4672" s="1"/>
      <c r="D4672" s="1"/>
    </row>
    <row r="4673" spans="3:4" x14ac:dyDescent="0.3">
      <c r="D4673" s="1"/>
    </row>
    <row r="4674" spans="3:4" x14ac:dyDescent="0.3">
      <c r="D4674" s="1"/>
    </row>
    <row r="4675" spans="3:4" x14ac:dyDescent="0.3">
      <c r="D4675" s="1"/>
    </row>
    <row r="4676" spans="3:4" x14ac:dyDescent="0.3">
      <c r="D4676" s="1"/>
    </row>
    <row r="4684" spans="3:4" x14ac:dyDescent="0.3">
      <c r="C4684" s="1"/>
      <c r="D4684" s="1"/>
    </row>
    <row r="4685" spans="3:4" x14ac:dyDescent="0.3">
      <c r="D4685" s="1"/>
    </row>
    <row r="4686" spans="3:4" x14ac:dyDescent="0.3">
      <c r="D4686" s="1"/>
    </row>
    <row r="4687" spans="3:4" x14ac:dyDescent="0.3">
      <c r="D4687" s="1"/>
    </row>
    <row r="4688" spans="3:4" x14ac:dyDescent="0.3">
      <c r="D4688" s="1"/>
    </row>
    <row r="4690" spans="3:4" x14ac:dyDescent="0.3">
      <c r="D4690" s="1"/>
    </row>
    <row r="4701" spans="3:4" x14ac:dyDescent="0.3">
      <c r="C4701" s="1"/>
    </row>
    <row r="4702" spans="3:4" x14ac:dyDescent="0.3">
      <c r="C4702" s="1"/>
    </row>
    <row r="4703" spans="3:4" x14ac:dyDescent="0.3">
      <c r="C4703" s="1"/>
    </row>
    <row r="4704" spans="3:4" x14ac:dyDescent="0.3">
      <c r="C4704" s="1"/>
    </row>
    <row r="4717" spans="3:4" x14ac:dyDescent="0.3">
      <c r="C4717" s="1"/>
    </row>
    <row r="4718" spans="3:4" x14ac:dyDescent="0.3">
      <c r="C4718" s="1"/>
      <c r="D4718" s="1"/>
    </row>
    <row r="4719" spans="3:4" x14ac:dyDescent="0.3">
      <c r="C4719" s="1"/>
    </row>
    <row r="4720" spans="3:4" x14ac:dyDescent="0.3">
      <c r="C4720" s="1"/>
      <c r="D4720" s="1"/>
    </row>
    <row r="4723" spans="3:4" x14ac:dyDescent="0.3">
      <c r="C4723" s="1"/>
      <c r="D4723" s="1"/>
    </row>
    <row r="4724" spans="3:4" x14ac:dyDescent="0.3">
      <c r="C4724" s="1"/>
      <c r="D4724" s="1"/>
    </row>
    <row r="4726" spans="3:4" x14ac:dyDescent="0.3">
      <c r="C4726" s="1"/>
    </row>
    <row r="4727" spans="3:4" x14ac:dyDescent="0.3">
      <c r="C4727" s="1"/>
    </row>
    <row r="4730" spans="3:4" x14ac:dyDescent="0.3">
      <c r="C4730" s="1"/>
      <c r="D4730" s="1"/>
    </row>
    <row r="4736" spans="3:4" x14ac:dyDescent="0.3">
      <c r="C4736" s="1"/>
      <c r="D4736" s="1"/>
    </row>
    <row r="4742" spans="3:4" x14ac:dyDescent="0.3">
      <c r="C4742" s="1"/>
    </row>
    <row r="4743" spans="3:4" x14ac:dyDescent="0.3">
      <c r="C4743" s="1"/>
    </row>
    <row r="4744" spans="3:4" x14ac:dyDescent="0.3">
      <c r="C4744" s="1"/>
    </row>
    <row r="4745" spans="3:4" x14ac:dyDescent="0.3">
      <c r="C4745" s="1"/>
      <c r="D4745" s="1"/>
    </row>
    <row r="4746" spans="3:4" x14ac:dyDescent="0.3">
      <c r="C4746" s="1"/>
      <c r="D4746" s="1"/>
    </row>
    <row r="4747" spans="3:4" x14ac:dyDescent="0.3">
      <c r="C4747" s="1"/>
      <c r="D4747" s="1"/>
    </row>
    <row r="4748" spans="3:4" x14ac:dyDescent="0.3">
      <c r="C4748" s="1"/>
      <c r="D4748" s="1"/>
    </row>
    <row r="4749" spans="3:4" x14ac:dyDescent="0.3">
      <c r="C4749" s="1"/>
      <c r="D4749" s="1"/>
    </row>
    <row r="4750" spans="3:4" x14ac:dyDescent="0.3">
      <c r="C4750" s="1"/>
      <c r="D4750" s="1"/>
    </row>
    <row r="4752" spans="3:4" x14ac:dyDescent="0.3">
      <c r="C4752" s="1"/>
      <c r="D4752" s="1"/>
    </row>
    <row r="4753" spans="3:4" x14ac:dyDescent="0.3">
      <c r="C4753" s="1"/>
    </row>
    <row r="4755" spans="3:4" x14ac:dyDescent="0.3">
      <c r="C4755" s="1"/>
    </row>
    <row r="4756" spans="3:4" x14ac:dyDescent="0.3">
      <c r="C4756" s="1"/>
      <c r="D4756" s="1"/>
    </row>
    <row r="4757" spans="3:4" x14ac:dyDescent="0.3">
      <c r="C4757" s="1"/>
      <c r="D4757" s="1"/>
    </row>
    <row r="4759" spans="3:4" x14ac:dyDescent="0.3">
      <c r="D4759" s="1"/>
    </row>
    <row r="4760" spans="3:4" x14ac:dyDescent="0.3">
      <c r="C4760" s="1"/>
      <c r="D4760" s="1"/>
    </row>
    <row r="4761" spans="3:4" x14ac:dyDescent="0.3">
      <c r="C4761" s="1"/>
      <c r="D4761" s="1"/>
    </row>
    <row r="4762" spans="3:4" x14ac:dyDescent="0.3">
      <c r="C4762" s="1"/>
      <c r="D4762" s="1"/>
    </row>
    <row r="4763" spans="3:4" x14ac:dyDescent="0.3">
      <c r="D4763" s="1"/>
    </row>
    <row r="4764" spans="3:4" x14ac:dyDescent="0.3">
      <c r="D4764" s="1"/>
    </row>
    <row r="4768" spans="3:4" x14ac:dyDescent="0.3">
      <c r="C4768" s="1"/>
      <c r="D4768" s="1"/>
    </row>
    <row r="4769" spans="3:4" x14ac:dyDescent="0.3">
      <c r="C4769" s="1"/>
      <c r="D4769" s="1"/>
    </row>
    <row r="4770" spans="3:4" x14ac:dyDescent="0.3">
      <c r="C4770" s="1"/>
      <c r="D4770" s="1"/>
    </row>
    <row r="4773" spans="3:4" x14ac:dyDescent="0.3">
      <c r="D4773" s="1"/>
    </row>
    <row r="4780" spans="3:4" x14ac:dyDescent="0.3">
      <c r="C4780" s="1"/>
      <c r="D4780" s="1"/>
    </row>
    <row r="4781" spans="3:4" x14ac:dyDescent="0.3">
      <c r="C4781" s="1"/>
      <c r="D4781" s="1"/>
    </row>
    <row r="4782" spans="3:4" x14ac:dyDescent="0.3">
      <c r="C4782" s="1"/>
      <c r="D4782" s="1"/>
    </row>
    <row r="4783" spans="3:4" x14ac:dyDescent="0.3">
      <c r="C4783" s="1"/>
      <c r="D4783" s="1"/>
    </row>
    <row r="4784" spans="3:4" x14ac:dyDescent="0.3">
      <c r="C4784" s="1"/>
      <c r="D4784" s="1"/>
    </row>
    <row r="4785" spans="3:4" x14ac:dyDescent="0.3">
      <c r="D4785" s="1"/>
    </row>
    <row r="4786" spans="3:4" x14ac:dyDescent="0.3">
      <c r="C4786" s="1"/>
    </row>
    <row r="4787" spans="3:4" x14ac:dyDescent="0.3">
      <c r="C4787" s="1"/>
    </row>
    <row r="4788" spans="3:4" x14ac:dyDescent="0.3">
      <c r="C4788" s="1"/>
    </row>
    <row r="4789" spans="3:4" x14ac:dyDescent="0.3">
      <c r="C4789" s="1"/>
    </row>
    <row r="4790" spans="3:4" x14ac:dyDescent="0.3">
      <c r="C4790" s="1"/>
    </row>
    <row r="4791" spans="3:4" x14ac:dyDescent="0.3">
      <c r="C4791" s="1"/>
    </row>
    <row r="4792" spans="3:4" x14ac:dyDescent="0.3">
      <c r="C4792" s="1"/>
    </row>
    <row r="4793" spans="3:4" x14ac:dyDescent="0.3">
      <c r="C4793" s="1"/>
    </row>
    <row r="4794" spans="3:4" x14ac:dyDescent="0.3">
      <c r="C4794" s="1"/>
    </row>
    <row r="4795" spans="3:4" x14ac:dyDescent="0.3">
      <c r="D4795" s="1"/>
    </row>
    <row r="4816" spans="3:4" x14ac:dyDescent="0.3">
      <c r="C4816" s="1"/>
      <c r="D4816" s="1"/>
    </row>
    <row r="4821" spans="3:4" x14ac:dyDescent="0.3">
      <c r="C4821" s="1"/>
    </row>
    <row r="4822" spans="3:4" x14ac:dyDescent="0.3">
      <c r="C4822" s="1"/>
      <c r="D4822" s="1"/>
    </row>
    <row r="4823" spans="3:4" x14ac:dyDescent="0.3">
      <c r="C4823" s="1"/>
      <c r="D4823" s="1"/>
    </row>
    <row r="4824" spans="3:4" x14ac:dyDescent="0.3">
      <c r="C4824" s="1"/>
      <c r="D4824" s="1"/>
    </row>
    <row r="4828" spans="3:4" x14ac:dyDescent="0.3">
      <c r="C4828" s="1"/>
    </row>
    <row r="4829" spans="3:4" x14ac:dyDescent="0.3">
      <c r="C4829" s="1"/>
      <c r="D4829" s="1"/>
    </row>
    <row r="4830" spans="3:4" x14ac:dyDescent="0.3">
      <c r="C4830" s="1"/>
      <c r="D4830" s="1"/>
    </row>
    <row r="4832" spans="3:4" x14ac:dyDescent="0.3">
      <c r="C4832" s="1"/>
      <c r="D4832" s="1"/>
    </row>
    <row r="4833" spans="3:4" x14ac:dyDescent="0.3">
      <c r="C4833" s="1"/>
      <c r="D4833" s="1"/>
    </row>
    <row r="4834" spans="3:4" x14ac:dyDescent="0.3">
      <c r="C4834" s="1"/>
      <c r="D4834" s="1"/>
    </row>
    <row r="4835" spans="3:4" x14ac:dyDescent="0.3">
      <c r="C4835" s="1"/>
      <c r="D4835" s="1"/>
    </row>
    <row r="4836" spans="3:4" x14ac:dyDescent="0.3">
      <c r="C4836" s="1"/>
      <c r="D4836" s="1"/>
    </row>
    <row r="4837" spans="3:4" x14ac:dyDescent="0.3">
      <c r="C4837" s="1"/>
      <c r="D4837" s="1"/>
    </row>
    <row r="4838" spans="3:4" x14ac:dyDescent="0.3">
      <c r="C4838" s="1"/>
      <c r="D4838" s="1"/>
    </row>
    <row r="4839" spans="3:4" x14ac:dyDescent="0.3">
      <c r="C4839" s="1"/>
      <c r="D4839" s="1"/>
    </row>
    <row r="4840" spans="3:4" x14ac:dyDescent="0.3">
      <c r="C4840" s="1"/>
      <c r="D4840" s="1"/>
    </row>
    <row r="4841" spans="3:4" x14ac:dyDescent="0.3">
      <c r="C4841" s="1"/>
      <c r="D4841" s="1"/>
    </row>
    <row r="4844" spans="3:4" x14ac:dyDescent="0.3">
      <c r="D4844" s="1"/>
    </row>
    <row r="4845" spans="3:4" x14ac:dyDescent="0.3">
      <c r="C4845" s="1"/>
      <c r="D4845" s="1"/>
    </row>
    <row r="4846" spans="3:4" x14ac:dyDescent="0.3">
      <c r="C4846" s="1"/>
      <c r="D4846" s="1"/>
    </row>
    <row r="4851" spans="3:3" x14ac:dyDescent="0.3">
      <c r="C4851" s="1"/>
    </row>
    <row r="4852" spans="3:3" x14ac:dyDescent="0.3">
      <c r="C4852" s="1"/>
    </row>
    <row r="4853" spans="3:3" x14ac:dyDescent="0.3">
      <c r="C4853" s="1"/>
    </row>
    <row r="4854" spans="3:3" x14ac:dyDescent="0.3">
      <c r="C4854" s="1"/>
    </row>
    <row r="4855" spans="3:3" x14ac:dyDescent="0.3">
      <c r="C4855" s="1"/>
    </row>
    <row r="4856" spans="3:3" x14ac:dyDescent="0.3">
      <c r="C4856" s="1"/>
    </row>
    <row r="4857" spans="3:3" x14ac:dyDescent="0.3">
      <c r="C4857" s="1"/>
    </row>
    <row r="4863" spans="3:3" x14ac:dyDescent="0.3">
      <c r="C4863" s="1"/>
    </row>
    <row r="4864" spans="3:3" x14ac:dyDescent="0.3">
      <c r="C4864" s="1"/>
    </row>
    <row r="4865" spans="3:4" x14ac:dyDescent="0.3">
      <c r="C4865" s="1"/>
    </row>
    <row r="4877" spans="3:4" x14ac:dyDescent="0.3">
      <c r="C4877" s="1"/>
      <c r="D4877" s="1"/>
    </row>
    <row r="4878" spans="3:4" x14ac:dyDescent="0.3">
      <c r="C4878" s="1"/>
      <c r="D4878" s="1"/>
    </row>
    <row r="4879" spans="3:4" x14ac:dyDescent="0.3">
      <c r="C4879" s="1"/>
      <c r="D4879" s="1"/>
    </row>
    <row r="4881" spans="3:4" x14ac:dyDescent="0.3">
      <c r="C4881" s="1"/>
      <c r="D4881" s="1"/>
    </row>
    <row r="4882" spans="3:4" x14ac:dyDescent="0.3">
      <c r="C4882" s="1"/>
      <c r="D4882" s="1"/>
    </row>
    <row r="4883" spans="3:4" x14ac:dyDescent="0.3">
      <c r="C4883" s="1"/>
      <c r="D4883" s="1"/>
    </row>
    <row r="4884" spans="3:4" x14ac:dyDescent="0.3">
      <c r="C4884" s="1"/>
      <c r="D4884" s="1"/>
    </row>
    <row r="4885" spans="3:4" x14ac:dyDescent="0.3">
      <c r="C4885" s="1"/>
    </row>
    <row r="4886" spans="3:4" x14ac:dyDescent="0.3">
      <c r="C4886" s="1"/>
    </row>
    <row r="4888" spans="3:4" x14ac:dyDescent="0.3">
      <c r="D4888" s="1"/>
    </row>
    <row r="4889" spans="3:4" x14ac:dyDescent="0.3">
      <c r="D4889" s="1"/>
    </row>
    <row r="4890" spans="3:4" x14ac:dyDescent="0.3">
      <c r="D4890" s="1"/>
    </row>
    <row r="4891" spans="3:4" x14ac:dyDescent="0.3">
      <c r="D4891" s="1"/>
    </row>
    <row r="4904" spans="3:4" x14ac:dyDescent="0.3">
      <c r="C4904" s="1"/>
      <c r="D4904" s="1"/>
    </row>
    <row r="4905" spans="3:4" x14ac:dyDescent="0.3">
      <c r="C4905" s="1"/>
      <c r="D4905" s="1"/>
    </row>
    <row r="4906" spans="3:4" x14ac:dyDescent="0.3">
      <c r="C4906" s="1"/>
      <c r="D4906" s="1"/>
    </row>
    <row r="4918" spans="3:4" x14ac:dyDescent="0.3">
      <c r="C4918" s="1"/>
      <c r="D4918" s="1"/>
    </row>
    <row r="4919" spans="3:4" x14ac:dyDescent="0.3">
      <c r="C4919" s="1"/>
      <c r="D4919" s="1"/>
    </row>
    <row r="4920" spans="3:4" x14ac:dyDescent="0.3">
      <c r="C4920" s="1"/>
      <c r="D4920" s="1"/>
    </row>
    <row r="4921" spans="3:4" x14ac:dyDescent="0.3">
      <c r="C4921" s="1"/>
      <c r="D4921" s="1"/>
    </row>
    <row r="4927" spans="3:4" x14ac:dyDescent="0.3">
      <c r="C4927" s="1"/>
    </row>
    <row r="4929" spans="3:4" x14ac:dyDescent="0.3">
      <c r="C4929" s="1"/>
      <c r="D4929" s="1"/>
    </row>
    <row r="4930" spans="3:4" x14ac:dyDescent="0.3">
      <c r="C4930" s="1"/>
      <c r="D4930" s="1"/>
    </row>
    <row r="4931" spans="3:4" x14ac:dyDescent="0.3">
      <c r="C4931" s="1"/>
      <c r="D4931" s="1"/>
    </row>
    <row r="4932" spans="3:4" x14ac:dyDescent="0.3">
      <c r="C4932" s="1"/>
      <c r="D4932" s="1"/>
    </row>
    <row r="4934" spans="3:4" x14ac:dyDescent="0.3">
      <c r="D4934" s="1"/>
    </row>
    <row r="4935" spans="3:4" x14ac:dyDescent="0.3">
      <c r="D4935" s="1"/>
    </row>
    <row r="4936" spans="3:4" x14ac:dyDescent="0.3">
      <c r="D4936" s="1"/>
    </row>
    <row r="4938" spans="3:4" x14ac:dyDescent="0.3">
      <c r="C4938" s="1"/>
    </row>
    <row r="4942" spans="3:4" x14ac:dyDescent="0.3">
      <c r="C4942" s="1"/>
    </row>
    <row r="4943" spans="3:4" x14ac:dyDescent="0.3">
      <c r="C4943" s="1"/>
    </row>
    <row r="4944" spans="3:4" x14ac:dyDescent="0.3">
      <c r="C4944" s="1"/>
    </row>
    <row r="4946" spans="3:4" x14ac:dyDescent="0.3">
      <c r="C4946" s="1"/>
      <c r="D4946" s="1"/>
    </row>
    <row r="4947" spans="3:4" x14ac:dyDescent="0.3">
      <c r="C4947" s="1"/>
      <c r="D4947" s="1"/>
    </row>
    <row r="4948" spans="3:4" x14ac:dyDescent="0.3">
      <c r="C4948" s="1"/>
      <c r="D4948" s="1"/>
    </row>
    <row r="4949" spans="3:4" x14ac:dyDescent="0.3">
      <c r="C4949" s="1"/>
      <c r="D4949" s="1"/>
    </row>
    <row r="4950" spans="3:4" x14ac:dyDescent="0.3">
      <c r="D4950" s="1"/>
    </row>
    <row r="4951" spans="3:4" x14ac:dyDescent="0.3">
      <c r="D4951" s="1"/>
    </row>
    <row r="4952" spans="3:4" x14ac:dyDescent="0.3">
      <c r="D4952" s="1"/>
    </row>
    <row r="4953" spans="3:4" x14ac:dyDescent="0.3">
      <c r="C4953" s="1"/>
    </row>
    <row r="4954" spans="3:4" x14ac:dyDescent="0.3">
      <c r="C4954" s="1"/>
      <c r="D4954" s="1"/>
    </row>
    <row r="4956" spans="3:4" x14ac:dyDescent="0.3">
      <c r="C4956" s="1"/>
    </row>
    <row r="4957" spans="3:4" x14ac:dyDescent="0.3">
      <c r="C4957" s="1"/>
    </row>
    <row r="4958" spans="3:4" x14ac:dyDescent="0.3">
      <c r="C4958" s="1"/>
    </row>
    <row r="4963" spans="3:4" x14ac:dyDescent="0.3">
      <c r="C4963" s="1"/>
      <c r="D4963" s="1"/>
    </row>
    <row r="4964" spans="3:4" x14ac:dyDescent="0.3">
      <c r="C4964" s="1"/>
      <c r="D4964" s="1"/>
    </row>
    <row r="4965" spans="3:4" x14ac:dyDescent="0.3">
      <c r="C4965" s="1"/>
      <c r="D4965" s="1"/>
    </row>
    <row r="4968" spans="3:4" x14ac:dyDescent="0.3">
      <c r="C4968" s="1"/>
      <c r="D4968" s="1"/>
    </row>
    <row r="4969" spans="3:4" x14ac:dyDescent="0.3">
      <c r="C4969" s="1"/>
      <c r="D4969" s="1"/>
    </row>
    <row r="4970" spans="3:4" x14ac:dyDescent="0.3">
      <c r="C4970" s="1"/>
      <c r="D4970" s="1"/>
    </row>
    <row r="4971" spans="3:4" x14ac:dyDescent="0.3">
      <c r="C4971" s="1"/>
      <c r="D4971" s="1"/>
    </row>
    <row r="4972" spans="3:4" x14ac:dyDescent="0.3">
      <c r="C4972" s="1"/>
      <c r="D4972" s="1"/>
    </row>
    <row r="4973" spans="3:4" x14ac:dyDescent="0.3">
      <c r="C4973" s="1"/>
      <c r="D4973" s="1"/>
    </row>
    <row r="4974" spans="3:4" x14ac:dyDescent="0.3">
      <c r="C4974" s="1"/>
      <c r="D4974" s="1"/>
    </row>
    <row r="4975" spans="3:4" x14ac:dyDescent="0.3">
      <c r="C4975" s="1"/>
      <c r="D4975" s="1"/>
    </row>
    <row r="4976" spans="3:4" x14ac:dyDescent="0.3">
      <c r="C4976" s="1"/>
      <c r="D4976" s="1"/>
    </row>
    <row r="4978" spans="3:4" x14ac:dyDescent="0.3">
      <c r="C4978" s="1"/>
      <c r="D4978" s="1"/>
    </row>
    <row r="4979" spans="3:4" x14ac:dyDescent="0.3">
      <c r="C4979" s="1"/>
      <c r="D4979" s="1"/>
    </row>
    <row r="4980" spans="3:4" x14ac:dyDescent="0.3">
      <c r="C4980" s="1"/>
      <c r="D4980" s="1"/>
    </row>
    <row r="4981" spans="3:4" x14ac:dyDescent="0.3">
      <c r="C4981" s="1"/>
    </row>
    <row r="4982" spans="3:4" x14ac:dyDescent="0.3">
      <c r="C4982" s="1"/>
    </row>
    <row r="4983" spans="3:4" x14ac:dyDescent="0.3">
      <c r="C4983" s="1"/>
    </row>
    <row r="4985" spans="3:4" x14ac:dyDescent="0.3">
      <c r="C4985" s="1"/>
      <c r="D4985" s="1"/>
    </row>
    <row r="4986" spans="3:4" x14ac:dyDescent="0.3">
      <c r="C4986" s="1"/>
      <c r="D4986" s="1"/>
    </row>
    <row r="4987" spans="3:4" x14ac:dyDescent="0.3">
      <c r="C4987" s="1"/>
      <c r="D4987" s="1"/>
    </row>
    <row r="4991" spans="3:4" x14ac:dyDescent="0.3">
      <c r="D4991" s="1"/>
    </row>
    <row r="4992" spans="3:4" x14ac:dyDescent="0.3">
      <c r="D4992" s="1"/>
    </row>
    <row r="4993" spans="3:4" x14ac:dyDescent="0.3">
      <c r="C4993" s="1"/>
    </row>
    <row r="4997" spans="3:4" x14ac:dyDescent="0.3">
      <c r="C4997" s="1"/>
      <c r="D4997" s="1"/>
    </row>
    <row r="4998" spans="3:4" x14ac:dyDescent="0.3">
      <c r="C4998" s="1"/>
    </row>
    <row r="4999" spans="3:4" x14ac:dyDescent="0.3">
      <c r="C4999" s="1"/>
    </row>
    <row r="5000" spans="3:4" x14ac:dyDescent="0.3">
      <c r="D5000" s="1"/>
    </row>
    <row r="5001" spans="3:4" x14ac:dyDescent="0.3">
      <c r="D5001" s="1"/>
    </row>
    <row r="5002" spans="3:4" x14ac:dyDescent="0.3">
      <c r="C5002" s="1"/>
      <c r="D5002" s="1"/>
    </row>
    <row r="5005" spans="3:4" x14ac:dyDescent="0.3">
      <c r="C5005" s="1"/>
      <c r="D5005" s="1"/>
    </row>
    <row r="5006" spans="3:4" x14ac:dyDescent="0.3">
      <c r="D5006" s="1"/>
    </row>
    <row r="5007" spans="3:4" x14ac:dyDescent="0.3">
      <c r="C5007" s="1"/>
    </row>
    <row r="5008" spans="3:4" x14ac:dyDescent="0.3">
      <c r="C5008" s="1"/>
    </row>
    <row r="5009" spans="3:3" x14ac:dyDescent="0.3">
      <c r="C5009" s="1"/>
    </row>
    <row r="5010" spans="3:3" x14ac:dyDescent="0.3">
      <c r="C5010" s="1"/>
    </row>
    <row r="5011" spans="3:3" x14ac:dyDescent="0.3">
      <c r="C5011" s="1"/>
    </row>
    <row r="5012" spans="3:3" x14ac:dyDescent="0.3">
      <c r="C5012" s="1"/>
    </row>
    <row r="5013" spans="3:3" x14ac:dyDescent="0.3">
      <c r="C5013" s="1"/>
    </row>
    <row r="5026" spans="3:4" x14ac:dyDescent="0.3">
      <c r="D5026" s="1"/>
    </row>
    <row r="5027" spans="3:4" x14ac:dyDescent="0.3">
      <c r="D5027" s="1"/>
    </row>
    <row r="5028" spans="3:4" x14ac:dyDescent="0.3">
      <c r="D5028" s="1"/>
    </row>
    <row r="5029" spans="3:4" x14ac:dyDescent="0.3">
      <c r="D5029" s="1"/>
    </row>
    <row r="5030" spans="3:4" x14ac:dyDescent="0.3">
      <c r="C5030" s="1"/>
      <c r="D5030" s="1"/>
    </row>
    <row r="5031" spans="3:4" x14ac:dyDescent="0.3">
      <c r="D5031" s="1"/>
    </row>
    <row r="5032" spans="3:4" x14ac:dyDescent="0.3">
      <c r="D5032" s="1"/>
    </row>
    <row r="5033" spans="3:4" x14ac:dyDescent="0.3">
      <c r="D5033" s="1"/>
    </row>
    <row r="5034" spans="3:4" x14ac:dyDescent="0.3">
      <c r="D5034" s="1"/>
    </row>
    <row r="5035" spans="3:4" x14ac:dyDescent="0.3">
      <c r="D5035" s="1"/>
    </row>
    <row r="5036" spans="3:4" x14ac:dyDescent="0.3">
      <c r="C5036" s="1"/>
    </row>
    <row r="5037" spans="3:4" x14ac:dyDescent="0.3">
      <c r="C5037" s="1"/>
      <c r="D5037" s="1"/>
    </row>
    <row r="5038" spans="3:4" x14ac:dyDescent="0.3">
      <c r="C5038" s="1"/>
      <c r="D5038" s="1"/>
    </row>
    <row r="5040" spans="3:4" x14ac:dyDescent="0.3">
      <c r="C5040" s="1"/>
      <c r="D5040" s="1"/>
    </row>
    <row r="5041" spans="3:4" x14ac:dyDescent="0.3">
      <c r="C5041" s="1"/>
      <c r="D5041" s="1"/>
    </row>
    <row r="5042" spans="3:4" x14ac:dyDescent="0.3">
      <c r="C5042" s="1"/>
      <c r="D5042" s="1"/>
    </row>
    <row r="5043" spans="3:4" x14ac:dyDescent="0.3">
      <c r="C5043" s="1"/>
    </row>
    <row r="5044" spans="3:4" x14ac:dyDescent="0.3">
      <c r="C5044" s="1"/>
    </row>
    <row r="5045" spans="3:4" x14ac:dyDescent="0.3">
      <c r="C5045" s="1"/>
    </row>
    <row r="5046" spans="3:4" x14ac:dyDescent="0.3">
      <c r="C5046" s="1"/>
    </row>
    <row r="5047" spans="3:4" x14ac:dyDescent="0.3">
      <c r="C5047" s="1"/>
    </row>
    <row r="5048" spans="3:4" x14ac:dyDescent="0.3">
      <c r="C5048" s="1"/>
    </row>
    <row r="5049" spans="3:4" x14ac:dyDescent="0.3">
      <c r="C5049" s="1"/>
    </row>
    <row r="5050" spans="3:4" x14ac:dyDescent="0.3">
      <c r="D5050" s="1"/>
    </row>
    <row r="5051" spans="3:4" x14ac:dyDescent="0.3">
      <c r="D5051" s="1"/>
    </row>
    <row r="5053" spans="3:4" x14ac:dyDescent="0.3">
      <c r="C5053" s="1"/>
      <c r="D5053" s="1"/>
    </row>
    <row r="5055" spans="3:4" x14ac:dyDescent="0.3">
      <c r="C5055" s="1"/>
      <c r="D5055" s="1"/>
    </row>
    <row r="5056" spans="3:4" x14ac:dyDescent="0.3">
      <c r="C5056" s="1"/>
      <c r="D5056" s="1"/>
    </row>
    <row r="5057" spans="3:4" x14ac:dyDescent="0.3">
      <c r="C5057" s="1"/>
      <c r="D5057" s="1"/>
    </row>
    <row r="5058" spans="3:4" x14ac:dyDescent="0.3">
      <c r="C5058" s="1"/>
      <c r="D5058" s="1"/>
    </row>
    <row r="5059" spans="3:4" x14ac:dyDescent="0.3">
      <c r="C5059" s="1"/>
      <c r="D5059" s="1"/>
    </row>
    <row r="5060" spans="3:4" x14ac:dyDescent="0.3">
      <c r="C5060" s="1"/>
      <c r="D5060" s="1"/>
    </row>
    <row r="5061" spans="3:4" x14ac:dyDescent="0.3">
      <c r="C5061" s="1"/>
      <c r="D5061" s="1"/>
    </row>
    <row r="5062" spans="3:4" x14ac:dyDescent="0.3">
      <c r="C5062" s="1"/>
      <c r="D5062" s="1"/>
    </row>
    <row r="5063" spans="3:4" x14ac:dyDescent="0.3">
      <c r="C5063" s="1"/>
      <c r="D5063" s="1"/>
    </row>
    <row r="5064" spans="3:4" x14ac:dyDescent="0.3">
      <c r="C5064" s="1"/>
      <c r="D5064" s="1"/>
    </row>
    <row r="5065" spans="3:4" x14ac:dyDescent="0.3">
      <c r="C5065" s="1"/>
      <c r="D5065" s="1"/>
    </row>
    <row r="5067" spans="3:4" x14ac:dyDescent="0.3">
      <c r="D5067" s="1"/>
    </row>
    <row r="5068" spans="3:4" x14ac:dyDescent="0.3">
      <c r="D5068" s="1"/>
    </row>
    <row r="5070" spans="3:4" x14ac:dyDescent="0.3">
      <c r="C5070" s="1"/>
      <c r="D5070" s="1"/>
    </row>
    <row r="5071" spans="3:4" x14ac:dyDescent="0.3">
      <c r="C5071" s="1"/>
      <c r="D5071" s="1"/>
    </row>
    <row r="5072" spans="3:4" x14ac:dyDescent="0.3">
      <c r="C5072" s="1"/>
      <c r="D5072" s="1"/>
    </row>
    <row r="5073" spans="3:4" x14ac:dyDescent="0.3">
      <c r="C5073" s="1"/>
      <c r="D5073" s="1"/>
    </row>
    <row r="5074" spans="3:4" x14ac:dyDescent="0.3">
      <c r="C5074" s="1"/>
      <c r="D5074" s="1"/>
    </row>
    <row r="5075" spans="3:4" x14ac:dyDescent="0.3">
      <c r="C5075" s="1"/>
      <c r="D5075" s="1"/>
    </row>
    <row r="5080" spans="3:4" x14ac:dyDescent="0.3">
      <c r="C5080" s="1"/>
    </row>
    <row r="5084" spans="3:4" x14ac:dyDescent="0.3">
      <c r="C5084" s="1"/>
      <c r="D5084" s="1"/>
    </row>
    <row r="5085" spans="3:4" x14ac:dyDescent="0.3">
      <c r="C5085" s="1"/>
      <c r="D5085" s="1"/>
    </row>
    <row r="5086" spans="3:4" x14ac:dyDescent="0.3">
      <c r="C5086" s="1"/>
      <c r="D5086" s="1"/>
    </row>
    <row r="5088" spans="3:4" x14ac:dyDescent="0.3">
      <c r="C5088" s="1"/>
      <c r="D5088" s="1"/>
    </row>
    <row r="5089" spans="3:4" x14ac:dyDescent="0.3">
      <c r="C5089" s="1"/>
      <c r="D5089" s="1"/>
    </row>
    <row r="5090" spans="3:4" x14ac:dyDescent="0.3">
      <c r="C5090" s="1"/>
      <c r="D5090" s="1"/>
    </row>
    <row r="5091" spans="3:4" x14ac:dyDescent="0.3">
      <c r="C5091" s="1"/>
      <c r="D5091" s="1"/>
    </row>
    <row r="5092" spans="3:4" x14ac:dyDescent="0.3">
      <c r="C5092" s="1"/>
      <c r="D5092" s="1"/>
    </row>
    <row r="5093" spans="3:4" x14ac:dyDescent="0.3">
      <c r="D5093" s="1"/>
    </row>
    <row r="5095" spans="3:4" x14ac:dyDescent="0.3">
      <c r="C5095" s="1"/>
      <c r="D5095" s="1"/>
    </row>
    <row r="5096" spans="3:4" x14ac:dyDescent="0.3">
      <c r="C5096" s="1"/>
      <c r="D5096" s="1"/>
    </row>
    <row r="5097" spans="3:4" x14ac:dyDescent="0.3">
      <c r="C5097" s="1"/>
      <c r="D5097" s="1"/>
    </row>
    <row r="5098" spans="3:4" x14ac:dyDescent="0.3">
      <c r="C5098" s="1"/>
      <c r="D5098" s="1"/>
    </row>
    <row r="5099" spans="3:4" x14ac:dyDescent="0.3">
      <c r="C5099" s="1"/>
      <c r="D5099" s="1"/>
    </row>
    <row r="5100" spans="3:4" x14ac:dyDescent="0.3">
      <c r="C5100" s="1"/>
      <c r="D5100" s="1"/>
    </row>
    <row r="5101" spans="3:4" x14ac:dyDescent="0.3">
      <c r="C5101" s="1"/>
      <c r="D5101" s="1"/>
    </row>
    <row r="5115" spans="3:4" x14ac:dyDescent="0.3">
      <c r="D5115" s="1"/>
    </row>
    <row r="5118" spans="3:4" x14ac:dyDescent="0.3">
      <c r="C5118" s="1"/>
    </row>
    <row r="5119" spans="3:4" x14ac:dyDescent="0.3">
      <c r="D5119" s="1"/>
    </row>
    <row r="5120" spans="3:4" x14ac:dyDescent="0.3">
      <c r="D5120" s="1"/>
    </row>
    <row r="5121" spans="3:4" x14ac:dyDescent="0.3">
      <c r="D5121" s="1"/>
    </row>
    <row r="5122" spans="3:4" x14ac:dyDescent="0.3">
      <c r="C5122" s="1"/>
      <c r="D5122" s="1"/>
    </row>
    <row r="5123" spans="3:4" x14ac:dyDescent="0.3">
      <c r="C5123" s="1"/>
      <c r="D5123" s="1"/>
    </row>
    <row r="5124" spans="3:4" x14ac:dyDescent="0.3">
      <c r="C5124" s="1"/>
      <c r="D5124" s="1"/>
    </row>
    <row r="5125" spans="3:4" x14ac:dyDescent="0.3">
      <c r="C5125" s="1"/>
      <c r="D5125" s="1"/>
    </row>
    <row r="5133" spans="3:4" x14ac:dyDescent="0.3">
      <c r="D5133" s="1"/>
    </row>
    <row r="5140" spans="3:4" x14ac:dyDescent="0.3">
      <c r="D5140" s="1"/>
    </row>
    <row r="5141" spans="3:4" x14ac:dyDescent="0.3">
      <c r="D5141" s="1"/>
    </row>
    <row r="5142" spans="3:4" x14ac:dyDescent="0.3">
      <c r="C5142" s="1"/>
      <c r="D5142" s="1"/>
    </row>
    <row r="5143" spans="3:4" x14ac:dyDescent="0.3">
      <c r="C5143" s="1"/>
      <c r="D5143" s="1"/>
    </row>
    <row r="5144" spans="3:4" x14ac:dyDescent="0.3">
      <c r="C5144" s="1"/>
      <c r="D5144" s="1"/>
    </row>
    <row r="5145" spans="3:4" x14ac:dyDescent="0.3">
      <c r="C5145" s="1"/>
      <c r="D5145" s="1"/>
    </row>
    <row r="5146" spans="3:4" x14ac:dyDescent="0.3">
      <c r="C5146" s="1"/>
      <c r="D5146" s="1"/>
    </row>
    <row r="5147" spans="3:4" x14ac:dyDescent="0.3">
      <c r="C5147" s="1"/>
      <c r="D5147" s="1"/>
    </row>
    <row r="5148" spans="3:4" x14ac:dyDescent="0.3">
      <c r="C5148" s="1"/>
      <c r="D5148" s="1"/>
    </row>
    <row r="5152" spans="3:4" x14ac:dyDescent="0.3">
      <c r="C5152" s="1"/>
      <c r="D5152" s="1"/>
    </row>
    <row r="5154" spans="3:4" x14ac:dyDescent="0.3">
      <c r="D5154" s="1"/>
    </row>
    <row r="5155" spans="3:4" x14ac:dyDescent="0.3">
      <c r="D5155" s="1"/>
    </row>
    <row r="5156" spans="3:4" x14ac:dyDescent="0.3">
      <c r="C5156" s="1"/>
      <c r="D5156" s="1"/>
    </row>
    <row r="5157" spans="3:4" x14ac:dyDescent="0.3">
      <c r="C5157" s="1"/>
      <c r="D5157" s="1"/>
    </row>
    <row r="5158" spans="3:4" x14ac:dyDescent="0.3">
      <c r="D5158" s="1"/>
    </row>
    <row r="5159" spans="3:4" x14ac:dyDescent="0.3">
      <c r="D5159" s="1"/>
    </row>
    <row r="5160" spans="3:4" x14ac:dyDescent="0.3">
      <c r="D5160" s="1"/>
    </row>
    <row r="5163" spans="3:4" x14ac:dyDescent="0.3">
      <c r="D5163" s="1"/>
    </row>
    <row r="5165" spans="3:4" x14ac:dyDescent="0.3">
      <c r="C5165" s="1"/>
      <c r="D5165" s="1"/>
    </row>
    <row r="5166" spans="3:4" x14ac:dyDescent="0.3">
      <c r="C5166" s="1"/>
    </row>
    <row r="5167" spans="3:4" x14ac:dyDescent="0.3">
      <c r="C5167" s="1"/>
    </row>
    <row r="5168" spans="3:4" x14ac:dyDescent="0.3">
      <c r="C5168" s="1"/>
    </row>
    <row r="5169" spans="3:4" x14ac:dyDescent="0.3">
      <c r="C5169" s="1"/>
    </row>
    <row r="5170" spans="3:4" x14ac:dyDescent="0.3">
      <c r="C5170" s="1"/>
    </row>
    <row r="5171" spans="3:4" x14ac:dyDescent="0.3">
      <c r="C5171" s="1"/>
    </row>
    <row r="5175" spans="3:4" x14ac:dyDescent="0.3">
      <c r="C5175" s="1"/>
      <c r="D5175" s="1"/>
    </row>
    <row r="5178" spans="3:4" x14ac:dyDescent="0.3">
      <c r="C5178" s="1"/>
      <c r="D5178" s="1"/>
    </row>
    <row r="5183" spans="3:4" x14ac:dyDescent="0.3">
      <c r="C5183" s="1"/>
    </row>
    <row r="5184" spans="3:4" x14ac:dyDescent="0.3">
      <c r="C5184" s="1"/>
    </row>
    <row r="5187" spans="3:4" x14ac:dyDescent="0.3">
      <c r="C5187" s="1"/>
    </row>
    <row r="5188" spans="3:4" x14ac:dyDescent="0.3">
      <c r="D5188" s="1"/>
    </row>
    <row r="5193" spans="3:4" x14ac:dyDescent="0.3">
      <c r="C5193" s="1"/>
      <c r="D5193" s="1"/>
    </row>
    <row r="5194" spans="3:4" x14ac:dyDescent="0.3">
      <c r="D5194" s="1"/>
    </row>
    <row r="5195" spans="3:4" x14ac:dyDescent="0.3">
      <c r="D5195" s="1"/>
    </row>
    <row r="5196" spans="3:4" x14ac:dyDescent="0.3">
      <c r="D5196" s="1"/>
    </row>
    <row r="5197" spans="3:4" x14ac:dyDescent="0.3">
      <c r="D5197" s="1"/>
    </row>
    <row r="5198" spans="3:4" x14ac:dyDescent="0.3">
      <c r="C5198" s="1"/>
    </row>
    <row r="5199" spans="3:4" x14ac:dyDescent="0.3">
      <c r="C5199" s="1"/>
    </row>
    <row r="5200" spans="3:4" x14ac:dyDescent="0.3">
      <c r="C5200" s="1"/>
      <c r="D5200" s="1"/>
    </row>
    <row r="5201" spans="3:4" x14ac:dyDescent="0.3">
      <c r="C5201" s="1"/>
      <c r="D5201" s="1"/>
    </row>
    <row r="5202" spans="3:4" x14ac:dyDescent="0.3">
      <c r="C5202" s="1"/>
      <c r="D5202" s="1"/>
    </row>
    <row r="5203" spans="3:4" x14ac:dyDescent="0.3">
      <c r="C5203" s="1"/>
      <c r="D5203" s="1"/>
    </row>
    <row r="5206" spans="3:4" x14ac:dyDescent="0.3">
      <c r="C5206" s="1"/>
    </row>
    <row r="5207" spans="3:4" x14ac:dyDescent="0.3">
      <c r="C5207" s="1"/>
    </row>
    <row r="5208" spans="3:4" x14ac:dyDescent="0.3">
      <c r="C5208" s="1"/>
    </row>
    <row r="5209" spans="3:4" x14ac:dyDescent="0.3">
      <c r="C5209" s="1"/>
    </row>
    <row r="5210" spans="3:4" x14ac:dyDescent="0.3">
      <c r="C5210" s="1"/>
    </row>
    <row r="5211" spans="3:4" x14ac:dyDescent="0.3">
      <c r="C5211" s="1"/>
    </row>
    <row r="5212" spans="3:4" x14ac:dyDescent="0.3">
      <c r="C5212" s="1"/>
    </row>
    <row r="5213" spans="3:4" x14ac:dyDescent="0.3">
      <c r="C5213" s="1"/>
    </row>
    <row r="5218" spans="3:4" x14ac:dyDescent="0.3">
      <c r="C5218" s="1"/>
    </row>
    <row r="5220" spans="3:4" x14ac:dyDescent="0.3">
      <c r="C5220" s="1"/>
    </row>
    <row r="5221" spans="3:4" x14ac:dyDescent="0.3">
      <c r="C5221" s="1"/>
      <c r="D5221" s="1"/>
    </row>
    <row r="5226" spans="3:4" x14ac:dyDescent="0.3">
      <c r="C5226" s="1"/>
    </row>
    <row r="5230" spans="3:4" x14ac:dyDescent="0.3">
      <c r="D5230" s="1"/>
    </row>
    <row r="5241" spans="3:4" x14ac:dyDescent="0.3">
      <c r="C5241" s="1"/>
    </row>
    <row r="5242" spans="3:4" x14ac:dyDescent="0.3">
      <c r="C5242" s="1"/>
    </row>
    <row r="5244" spans="3:4" x14ac:dyDescent="0.3">
      <c r="C5244" s="1"/>
      <c r="D5244" s="1"/>
    </row>
    <row r="5246" spans="3:4" x14ac:dyDescent="0.3">
      <c r="C5246" s="1"/>
      <c r="D5246" s="1"/>
    </row>
    <row r="5247" spans="3:4" x14ac:dyDescent="0.3">
      <c r="C5247" s="1"/>
      <c r="D5247" s="1"/>
    </row>
    <row r="5248" spans="3:4" x14ac:dyDescent="0.3">
      <c r="C5248" s="1"/>
      <c r="D5248" s="1"/>
    </row>
    <row r="5250" spans="3:4" x14ac:dyDescent="0.3">
      <c r="C5250" s="1"/>
      <c r="D5250" s="1"/>
    </row>
    <row r="5252" spans="3:4" x14ac:dyDescent="0.3">
      <c r="C5252" s="1"/>
    </row>
    <row r="5253" spans="3:4" x14ac:dyDescent="0.3">
      <c r="C5253" s="1"/>
    </row>
    <row r="5254" spans="3:4" x14ac:dyDescent="0.3">
      <c r="D5254" s="1"/>
    </row>
    <row r="5255" spans="3:4" x14ac:dyDescent="0.3">
      <c r="C5255" s="1"/>
      <c r="D5255" s="1"/>
    </row>
    <row r="5256" spans="3:4" x14ac:dyDescent="0.3">
      <c r="C5256" s="1"/>
      <c r="D5256" s="1"/>
    </row>
    <row r="5257" spans="3:4" x14ac:dyDescent="0.3">
      <c r="C5257" s="1"/>
      <c r="D5257" s="1"/>
    </row>
    <row r="5258" spans="3:4" x14ac:dyDescent="0.3">
      <c r="C5258" s="1"/>
    </row>
    <row r="5259" spans="3:4" x14ac:dyDescent="0.3">
      <c r="C5259" s="1"/>
      <c r="D5259" s="1"/>
    </row>
    <row r="5260" spans="3:4" x14ac:dyDescent="0.3">
      <c r="C5260" s="1"/>
      <c r="D5260" s="1"/>
    </row>
    <row r="5262" spans="3:4" x14ac:dyDescent="0.3">
      <c r="C5262" s="1"/>
      <c r="D5262" s="1"/>
    </row>
    <row r="5263" spans="3:4" x14ac:dyDescent="0.3">
      <c r="C5263" s="1"/>
      <c r="D5263" s="1"/>
    </row>
    <row r="5264" spans="3:4" x14ac:dyDescent="0.3">
      <c r="C5264" s="1"/>
      <c r="D5264" s="1"/>
    </row>
    <row r="5265" spans="3:4" x14ac:dyDescent="0.3">
      <c r="C5265" s="1"/>
      <c r="D5265" s="1"/>
    </row>
    <row r="5266" spans="3:4" x14ac:dyDescent="0.3">
      <c r="C5266" s="1"/>
      <c r="D5266" s="1"/>
    </row>
    <row r="5267" spans="3:4" x14ac:dyDescent="0.3">
      <c r="D5267" s="1"/>
    </row>
    <row r="5268" spans="3:4" x14ac:dyDescent="0.3">
      <c r="D5268" s="1"/>
    </row>
    <row r="5269" spans="3:4" x14ac:dyDescent="0.3">
      <c r="D5269" s="1"/>
    </row>
    <row r="5271" spans="3:4" x14ac:dyDescent="0.3">
      <c r="C5271" s="1"/>
      <c r="D5271" s="1"/>
    </row>
    <row r="5272" spans="3:4" x14ac:dyDescent="0.3">
      <c r="C5272" s="1"/>
      <c r="D5272" s="1"/>
    </row>
    <row r="5276" spans="3:4" x14ac:dyDescent="0.3">
      <c r="C5276" s="1"/>
      <c r="D5276" s="1"/>
    </row>
    <row r="5280" spans="3:4" x14ac:dyDescent="0.3">
      <c r="C5280" s="1"/>
    </row>
    <row r="5281" spans="3:4" x14ac:dyDescent="0.3">
      <c r="C5281" s="1"/>
      <c r="D5281" s="1"/>
    </row>
    <row r="5282" spans="3:4" x14ac:dyDescent="0.3">
      <c r="C5282" s="1"/>
      <c r="D5282" s="1"/>
    </row>
    <row r="5283" spans="3:4" x14ac:dyDescent="0.3">
      <c r="C5283" s="1"/>
      <c r="D5283" s="1"/>
    </row>
    <row r="5284" spans="3:4" x14ac:dyDescent="0.3">
      <c r="C5284" s="1"/>
      <c r="D5284" s="1"/>
    </row>
    <row r="5285" spans="3:4" x14ac:dyDescent="0.3">
      <c r="D5285" s="1"/>
    </row>
    <row r="5286" spans="3:4" x14ac:dyDescent="0.3">
      <c r="D5286" s="1"/>
    </row>
    <row r="5287" spans="3:4" x14ac:dyDescent="0.3">
      <c r="C5287" s="1"/>
      <c r="D5287" s="1"/>
    </row>
    <row r="5288" spans="3:4" x14ac:dyDescent="0.3">
      <c r="C5288" s="1"/>
      <c r="D5288" s="1"/>
    </row>
    <row r="5289" spans="3:4" x14ac:dyDescent="0.3">
      <c r="C5289" s="1"/>
      <c r="D5289" s="1"/>
    </row>
    <row r="5290" spans="3:4" x14ac:dyDescent="0.3">
      <c r="D5290" s="1"/>
    </row>
    <row r="5291" spans="3:4" x14ac:dyDescent="0.3">
      <c r="C5291" s="1"/>
    </row>
    <row r="5292" spans="3:4" x14ac:dyDescent="0.3">
      <c r="C5292" s="1"/>
    </row>
    <row r="5293" spans="3:4" x14ac:dyDescent="0.3">
      <c r="C5293" s="1"/>
    </row>
    <row r="5297" spans="3:4" x14ac:dyDescent="0.3">
      <c r="C5297" s="1"/>
      <c r="D5297" s="1"/>
    </row>
    <row r="5302" spans="3:4" x14ac:dyDescent="0.3">
      <c r="D5302" s="1"/>
    </row>
    <row r="5303" spans="3:4" x14ac:dyDescent="0.3">
      <c r="D5303" s="1"/>
    </row>
    <row r="5304" spans="3:4" x14ac:dyDescent="0.3">
      <c r="D5304" s="1"/>
    </row>
    <row r="5315" spans="3:4" x14ac:dyDescent="0.3">
      <c r="D5315" s="1"/>
    </row>
    <row r="5316" spans="3:4" x14ac:dyDescent="0.3">
      <c r="D5316" s="1"/>
    </row>
    <row r="5317" spans="3:4" x14ac:dyDescent="0.3">
      <c r="C5317" s="1"/>
      <c r="D5317" s="1"/>
    </row>
    <row r="5318" spans="3:4" x14ac:dyDescent="0.3">
      <c r="C5318" s="1"/>
      <c r="D5318" s="1"/>
    </row>
    <row r="5319" spans="3:4" x14ac:dyDescent="0.3">
      <c r="C5319" s="1"/>
      <c r="D5319" s="1"/>
    </row>
    <row r="5320" spans="3:4" x14ac:dyDescent="0.3">
      <c r="C5320" s="1"/>
      <c r="D5320" s="1"/>
    </row>
    <row r="5321" spans="3:4" x14ac:dyDescent="0.3">
      <c r="C5321" s="1"/>
      <c r="D5321" s="1"/>
    </row>
    <row r="5322" spans="3:4" x14ac:dyDescent="0.3">
      <c r="C5322" s="1"/>
      <c r="D5322" s="1"/>
    </row>
    <row r="5323" spans="3:4" x14ac:dyDescent="0.3">
      <c r="C5323" s="1"/>
      <c r="D5323" s="1"/>
    </row>
    <row r="5324" spans="3:4" x14ac:dyDescent="0.3">
      <c r="C5324" s="1"/>
      <c r="D5324" s="1"/>
    </row>
    <row r="5326" spans="3:4" x14ac:dyDescent="0.3">
      <c r="C5326" s="1"/>
      <c r="D5326" s="1"/>
    </row>
    <row r="5327" spans="3:4" x14ac:dyDescent="0.3">
      <c r="C5327" s="1"/>
      <c r="D5327" s="1"/>
    </row>
    <row r="5329" spans="3:4" x14ac:dyDescent="0.3">
      <c r="C5329" s="1"/>
      <c r="D5329" s="1"/>
    </row>
    <row r="5330" spans="3:4" x14ac:dyDescent="0.3">
      <c r="C5330" s="1"/>
      <c r="D5330" s="1"/>
    </row>
    <row r="5332" spans="3:4" x14ac:dyDescent="0.3">
      <c r="C5332" s="1"/>
      <c r="D5332" s="1"/>
    </row>
    <row r="5333" spans="3:4" x14ac:dyDescent="0.3">
      <c r="C5333" s="1"/>
      <c r="D5333" s="1"/>
    </row>
    <row r="5334" spans="3:4" x14ac:dyDescent="0.3">
      <c r="C5334" s="1"/>
      <c r="D5334" s="1"/>
    </row>
    <row r="5335" spans="3:4" x14ac:dyDescent="0.3">
      <c r="D5335" s="1"/>
    </row>
    <row r="5336" spans="3:4" x14ac:dyDescent="0.3">
      <c r="D5336" s="1"/>
    </row>
    <row r="5337" spans="3:4" x14ac:dyDescent="0.3">
      <c r="D5337" s="1"/>
    </row>
    <row r="5340" spans="3:4" x14ac:dyDescent="0.3">
      <c r="C5340" s="1"/>
    </row>
    <row r="5341" spans="3:4" x14ac:dyDescent="0.3">
      <c r="C5341" s="1"/>
    </row>
    <row r="5342" spans="3:4" x14ac:dyDescent="0.3">
      <c r="C5342" s="1"/>
    </row>
    <row r="5343" spans="3:4" x14ac:dyDescent="0.3">
      <c r="C5343" s="1"/>
    </row>
    <row r="5346" spans="3:4" x14ac:dyDescent="0.3">
      <c r="C5346" s="1"/>
    </row>
    <row r="5350" spans="3:4" x14ac:dyDescent="0.3">
      <c r="C5350" s="1"/>
      <c r="D5350" s="1"/>
    </row>
    <row r="5351" spans="3:4" x14ac:dyDescent="0.3">
      <c r="C5351" s="1"/>
      <c r="D5351" s="1"/>
    </row>
    <row r="5352" spans="3:4" x14ac:dyDescent="0.3">
      <c r="C5352" s="1"/>
    </row>
    <row r="5353" spans="3:4" x14ac:dyDescent="0.3">
      <c r="C5353" s="1"/>
      <c r="D5353" s="1"/>
    </row>
    <row r="5354" spans="3:4" x14ac:dyDescent="0.3">
      <c r="C5354" s="1"/>
      <c r="D5354" s="1"/>
    </row>
    <row r="5355" spans="3:4" x14ac:dyDescent="0.3">
      <c r="C5355" s="1"/>
      <c r="D5355" s="1"/>
    </row>
    <row r="5358" spans="3:4" x14ac:dyDescent="0.3">
      <c r="D5358" s="1"/>
    </row>
    <row r="5359" spans="3:4" x14ac:dyDescent="0.3">
      <c r="C5359" s="1"/>
      <c r="D5359" s="1"/>
    </row>
    <row r="5360" spans="3:4" x14ac:dyDescent="0.3">
      <c r="C5360" s="1"/>
      <c r="D5360" s="1"/>
    </row>
    <row r="5361" spans="3:4" x14ac:dyDescent="0.3">
      <c r="C5361" s="1"/>
      <c r="D5361" s="1"/>
    </row>
    <row r="5363" spans="3:4" x14ac:dyDescent="0.3">
      <c r="C5363" s="1"/>
      <c r="D5363" s="1"/>
    </row>
    <row r="5364" spans="3:4" x14ac:dyDescent="0.3">
      <c r="D5364" s="1"/>
    </row>
    <row r="5365" spans="3:4" x14ac:dyDescent="0.3">
      <c r="D5365" s="1"/>
    </row>
    <row r="5368" spans="3:4" x14ac:dyDescent="0.3">
      <c r="C5368" s="1"/>
    </row>
    <row r="5369" spans="3:4" x14ac:dyDescent="0.3">
      <c r="C5369" s="1"/>
    </row>
    <row r="5370" spans="3:4" x14ac:dyDescent="0.3">
      <c r="C5370" s="1"/>
    </row>
    <row r="5371" spans="3:4" x14ac:dyDescent="0.3">
      <c r="C5371" s="1"/>
    </row>
    <row r="5372" spans="3:4" x14ac:dyDescent="0.3">
      <c r="C5372" s="1"/>
      <c r="D5372" s="1"/>
    </row>
    <row r="5373" spans="3:4" x14ac:dyDescent="0.3">
      <c r="C5373" s="1"/>
      <c r="D5373" s="1"/>
    </row>
    <row r="5379" spans="3:4" x14ac:dyDescent="0.3">
      <c r="C5379" s="1"/>
      <c r="D5379" s="1"/>
    </row>
    <row r="5380" spans="3:4" x14ac:dyDescent="0.3">
      <c r="C5380" s="1"/>
      <c r="D5380" s="1"/>
    </row>
    <row r="5383" spans="3:4" x14ac:dyDescent="0.3">
      <c r="C5383" s="1"/>
      <c r="D5383" s="1"/>
    </row>
    <row r="5384" spans="3:4" x14ac:dyDescent="0.3">
      <c r="C5384" s="1"/>
      <c r="D5384" s="1"/>
    </row>
    <row r="5385" spans="3:4" x14ac:dyDescent="0.3">
      <c r="C5385" s="1"/>
      <c r="D5385" s="1"/>
    </row>
    <row r="5386" spans="3:4" x14ac:dyDescent="0.3">
      <c r="D5386" s="1"/>
    </row>
    <row r="5387" spans="3:4" x14ac:dyDescent="0.3">
      <c r="D5387" s="1"/>
    </row>
    <row r="5388" spans="3:4" x14ac:dyDescent="0.3">
      <c r="C5388" s="1"/>
    </row>
    <row r="5392" spans="3:4" x14ac:dyDescent="0.3">
      <c r="C5392" s="1"/>
      <c r="D5392" s="1"/>
    </row>
    <row r="5400" spans="3:4" x14ac:dyDescent="0.3">
      <c r="D5400" s="1"/>
    </row>
    <row r="5401" spans="3:4" x14ac:dyDescent="0.3">
      <c r="C5401" s="1"/>
    </row>
    <row r="5409" spans="3:4" x14ac:dyDescent="0.3">
      <c r="C5409" s="1"/>
    </row>
    <row r="5410" spans="3:4" x14ac:dyDescent="0.3">
      <c r="C5410" s="1"/>
    </row>
    <row r="5411" spans="3:4" x14ac:dyDescent="0.3">
      <c r="C5411" s="1"/>
    </row>
    <row r="5412" spans="3:4" x14ac:dyDescent="0.3">
      <c r="C5412" s="1"/>
    </row>
    <row r="5415" spans="3:4" x14ac:dyDescent="0.3">
      <c r="C5415" s="1"/>
    </row>
    <row r="5419" spans="3:4" x14ac:dyDescent="0.3">
      <c r="C5419" s="1"/>
      <c r="D5419" s="1"/>
    </row>
    <row r="5422" spans="3:4" x14ac:dyDescent="0.3">
      <c r="D5422" s="1"/>
    </row>
    <row r="5423" spans="3:4" x14ac:dyDescent="0.3">
      <c r="D5423" s="1"/>
    </row>
    <row r="5424" spans="3:4" x14ac:dyDescent="0.3">
      <c r="D5424" s="1"/>
    </row>
    <row r="5425" spans="3:4" x14ac:dyDescent="0.3">
      <c r="C5425" s="1"/>
      <c r="D5425" s="1"/>
    </row>
    <row r="5427" spans="3:4" x14ac:dyDescent="0.3">
      <c r="C5427" s="1"/>
      <c r="D5427" s="1"/>
    </row>
    <row r="5428" spans="3:4" x14ac:dyDescent="0.3">
      <c r="C5428" s="1"/>
      <c r="D5428" s="1"/>
    </row>
    <row r="5430" spans="3:4" x14ac:dyDescent="0.3">
      <c r="C5430" s="1"/>
      <c r="D5430" s="1"/>
    </row>
    <row r="5431" spans="3:4" x14ac:dyDescent="0.3">
      <c r="C5431" s="1"/>
      <c r="D5431" s="1"/>
    </row>
    <row r="5438" spans="3:4" x14ac:dyDescent="0.3">
      <c r="C5438" s="1"/>
      <c r="D5438" s="1"/>
    </row>
    <row r="5439" spans="3:4" x14ac:dyDescent="0.3">
      <c r="C5439" s="1"/>
      <c r="D5439" s="1"/>
    </row>
    <row r="5440" spans="3:4" x14ac:dyDescent="0.3">
      <c r="C5440" s="1"/>
      <c r="D5440" s="1"/>
    </row>
    <row r="5441" spans="3:4" x14ac:dyDescent="0.3">
      <c r="C5441" s="1"/>
      <c r="D5441" s="1"/>
    </row>
    <row r="5443" spans="3:4" x14ac:dyDescent="0.3">
      <c r="C5443" s="1"/>
    </row>
    <row r="5450" spans="3:4" x14ac:dyDescent="0.3">
      <c r="C5450" s="1"/>
    </row>
    <row r="5451" spans="3:4" x14ac:dyDescent="0.3">
      <c r="C5451" s="1"/>
    </row>
    <row r="5452" spans="3:4" x14ac:dyDescent="0.3">
      <c r="C5452" s="1"/>
    </row>
    <row r="5453" spans="3:4" x14ac:dyDescent="0.3">
      <c r="C5453" s="1"/>
    </row>
    <row r="5456" spans="3:4" x14ac:dyDescent="0.3">
      <c r="D5456" s="1"/>
    </row>
    <row r="5457" spans="3:4" x14ac:dyDescent="0.3">
      <c r="D5457" s="1"/>
    </row>
    <row r="5458" spans="3:4" x14ac:dyDescent="0.3">
      <c r="D5458" s="1"/>
    </row>
    <row r="5459" spans="3:4" x14ac:dyDescent="0.3">
      <c r="D5459" s="1"/>
    </row>
    <row r="5460" spans="3:4" x14ac:dyDescent="0.3">
      <c r="C5460" s="1"/>
      <c r="D5460" s="1"/>
    </row>
    <row r="5461" spans="3:4" x14ac:dyDescent="0.3">
      <c r="C5461" s="1"/>
      <c r="D5461" s="1"/>
    </row>
    <row r="5463" spans="3:4" x14ac:dyDescent="0.3">
      <c r="D5463" s="1"/>
    </row>
    <row r="5469" spans="3:4" x14ac:dyDescent="0.3">
      <c r="C5469" s="1"/>
    </row>
    <row r="5472" spans="3:4" x14ac:dyDescent="0.3">
      <c r="D5472" s="1"/>
    </row>
    <row r="5481" spans="3:4" x14ac:dyDescent="0.3">
      <c r="D5481" s="1"/>
    </row>
    <row r="5482" spans="3:4" x14ac:dyDescent="0.3">
      <c r="C5482" s="1"/>
    </row>
    <row r="5483" spans="3:4" x14ac:dyDescent="0.3">
      <c r="C5483" s="1"/>
    </row>
    <row r="5484" spans="3:4" x14ac:dyDescent="0.3">
      <c r="C5484" s="1"/>
    </row>
    <row r="5485" spans="3:4" x14ac:dyDescent="0.3">
      <c r="C5485" s="1"/>
    </row>
    <row r="5486" spans="3:4" x14ac:dyDescent="0.3">
      <c r="D5486" s="1"/>
    </row>
    <row r="5487" spans="3:4" x14ac:dyDescent="0.3">
      <c r="C5487" s="1"/>
    </row>
    <row r="5489" spans="3:4" x14ac:dyDescent="0.3">
      <c r="C5489" s="1"/>
      <c r="D5489" s="1"/>
    </row>
    <row r="5490" spans="3:4" x14ac:dyDescent="0.3">
      <c r="C5490" s="1"/>
      <c r="D5490" s="1"/>
    </row>
    <row r="5491" spans="3:4" x14ac:dyDescent="0.3">
      <c r="C5491" s="1"/>
      <c r="D5491" s="1"/>
    </row>
    <row r="5492" spans="3:4" x14ac:dyDescent="0.3">
      <c r="C5492" s="1"/>
      <c r="D5492" s="1"/>
    </row>
    <row r="5497" spans="3:4" x14ac:dyDescent="0.3">
      <c r="C5497" s="1"/>
      <c r="D5497" s="1"/>
    </row>
    <row r="5498" spans="3:4" x14ac:dyDescent="0.3">
      <c r="C5498" s="1"/>
    </row>
    <row r="5504" spans="3:4" x14ac:dyDescent="0.3">
      <c r="C5504" s="1"/>
      <c r="D5504" s="1"/>
    </row>
    <row r="5505" spans="3:4" x14ac:dyDescent="0.3">
      <c r="C5505" s="1"/>
      <c r="D5505" s="1"/>
    </row>
    <row r="5506" spans="3:4" x14ac:dyDescent="0.3">
      <c r="C5506" s="1"/>
      <c r="D5506" s="1"/>
    </row>
    <row r="5507" spans="3:4" x14ac:dyDescent="0.3">
      <c r="C5507" s="1"/>
      <c r="D5507" s="1"/>
    </row>
    <row r="5508" spans="3:4" x14ac:dyDescent="0.3">
      <c r="C5508" s="1"/>
      <c r="D5508" s="1"/>
    </row>
    <row r="5509" spans="3:4" x14ac:dyDescent="0.3">
      <c r="C5509" s="1"/>
    </row>
    <row r="5510" spans="3:4" x14ac:dyDescent="0.3">
      <c r="C5510" s="1"/>
      <c r="D5510" s="1"/>
    </row>
    <row r="5513" spans="3:4" x14ac:dyDescent="0.3">
      <c r="D5513" s="1"/>
    </row>
    <row r="5514" spans="3:4" x14ac:dyDescent="0.3">
      <c r="D5514" s="1"/>
    </row>
    <row r="5515" spans="3:4" x14ac:dyDescent="0.3">
      <c r="D5515" s="1"/>
    </row>
    <row r="5516" spans="3:4" x14ac:dyDescent="0.3">
      <c r="D5516" s="1"/>
    </row>
    <row r="5517" spans="3:4" x14ac:dyDescent="0.3">
      <c r="D5517" s="1"/>
    </row>
    <row r="5519" spans="3:4" x14ac:dyDescent="0.3">
      <c r="C5519" s="1"/>
      <c r="D5519" s="1"/>
    </row>
    <row r="5520" spans="3:4" x14ac:dyDescent="0.3">
      <c r="C5520" s="1"/>
      <c r="D5520" s="1"/>
    </row>
    <row r="5521" spans="3:4" x14ac:dyDescent="0.3">
      <c r="C5521" s="1"/>
      <c r="D5521" s="1"/>
    </row>
    <row r="5522" spans="3:4" x14ac:dyDescent="0.3">
      <c r="C5522" s="1"/>
      <c r="D5522" s="1"/>
    </row>
    <row r="5523" spans="3:4" x14ac:dyDescent="0.3">
      <c r="C5523" s="1"/>
      <c r="D5523" s="1"/>
    </row>
    <row r="5524" spans="3:4" x14ac:dyDescent="0.3">
      <c r="C5524" s="1"/>
      <c r="D5524" s="1"/>
    </row>
    <row r="5525" spans="3:4" x14ac:dyDescent="0.3">
      <c r="C5525" s="1"/>
      <c r="D5525" s="1"/>
    </row>
    <row r="5526" spans="3:4" x14ac:dyDescent="0.3">
      <c r="C5526" s="1"/>
      <c r="D5526" s="1"/>
    </row>
    <row r="5527" spans="3:4" x14ac:dyDescent="0.3">
      <c r="D5527" s="1"/>
    </row>
    <row r="5529" spans="3:4" x14ac:dyDescent="0.3">
      <c r="C5529" s="1"/>
      <c r="D5529" s="1"/>
    </row>
    <row r="5530" spans="3:4" x14ac:dyDescent="0.3">
      <c r="D5530" s="1"/>
    </row>
    <row r="5531" spans="3:4" x14ac:dyDescent="0.3">
      <c r="C5531" s="1"/>
      <c r="D5531" s="1"/>
    </row>
    <row r="5532" spans="3:4" x14ac:dyDescent="0.3">
      <c r="C5532" s="1"/>
      <c r="D5532" s="1"/>
    </row>
    <row r="5533" spans="3:4" x14ac:dyDescent="0.3">
      <c r="C5533" s="1"/>
      <c r="D5533" s="1"/>
    </row>
    <row r="5534" spans="3:4" x14ac:dyDescent="0.3">
      <c r="C5534" s="1"/>
      <c r="D5534" s="1"/>
    </row>
    <row r="5535" spans="3:4" x14ac:dyDescent="0.3">
      <c r="C5535" s="1"/>
      <c r="D5535" s="1"/>
    </row>
    <row r="5536" spans="3:4" x14ac:dyDescent="0.3">
      <c r="C5536" s="1"/>
      <c r="D5536" s="1"/>
    </row>
    <row r="5537" spans="3:4" x14ac:dyDescent="0.3">
      <c r="C5537" s="1"/>
      <c r="D5537" s="1"/>
    </row>
    <row r="5538" spans="3:4" x14ac:dyDescent="0.3">
      <c r="C5538" s="1"/>
      <c r="D5538" s="1"/>
    </row>
    <row r="5539" spans="3:4" x14ac:dyDescent="0.3">
      <c r="C5539" s="1"/>
      <c r="D5539" s="1"/>
    </row>
    <row r="5548" spans="3:4" x14ac:dyDescent="0.3">
      <c r="C5548" s="1"/>
      <c r="D5548" s="1"/>
    </row>
    <row r="5549" spans="3:4" x14ac:dyDescent="0.3">
      <c r="C5549" s="1"/>
      <c r="D5549" s="1"/>
    </row>
    <row r="5550" spans="3:4" x14ac:dyDescent="0.3">
      <c r="D5550" s="1"/>
    </row>
    <row r="5551" spans="3:4" x14ac:dyDescent="0.3">
      <c r="D5551" s="1"/>
    </row>
    <row r="5552" spans="3:4" x14ac:dyDescent="0.3">
      <c r="C5552" s="1"/>
    </row>
    <row r="5553" spans="3:4" x14ac:dyDescent="0.3">
      <c r="C5553" s="1"/>
    </row>
    <row r="5554" spans="3:4" x14ac:dyDescent="0.3">
      <c r="C5554" s="1"/>
    </row>
    <row r="5555" spans="3:4" x14ac:dyDescent="0.3">
      <c r="C5555" s="1"/>
    </row>
    <row r="5556" spans="3:4" x14ac:dyDescent="0.3">
      <c r="C5556" s="1"/>
    </row>
    <row r="5557" spans="3:4" x14ac:dyDescent="0.3">
      <c r="C5557" s="1"/>
      <c r="D5557" s="1"/>
    </row>
    <row r="5560" spans="3:4" x14ac:dyDescent="0.3">
      <c r="C5560" s="1"/>
      <c r="D5560" s="1"/>
    </row>
    <row r="5561" spans="3:4" x14ac:dyDescent="0.3">
      <c r="C5561" s="1"/>
      <c r="D5561" s="1"/>
    </row>
    <row r="5562" spans="3:4" x14ac:dyDescent="0.3">
      <c r="C5562" s="1"/>
      <c r="D5562" s="1"/>
    </row>
    <row r="5563" spans="3:4" x14ac:dyDescent="0.3">
      <c r="D5563" s="1"/>
    </row>
    <row r="5564" spans="3:4" x14ac:dyDescent="0.3">
      <c r="D5564" s="1"/>
    </row>
    <row r="5565" spans="3:4" x14ac:dyDescent="0.3">
      <c r="D5565" s="1"/>
    </row>
    <row r="5573" spans="3:4" x14ac:dyDescent="0.3">
      <c r="C5573" s="1"/>
      <c r="D5573" s="1"/>
    </row>
    <row r="5574" spans="3:4" x14ac:dyDescent="0.3">
      <c r="C5574" s="1"/>
      <c r="D5574" s="1"/>
    </row>
    <row r="5575" spans="3:4" x14ac:dyDescent="0.3">
      <c r="C5575" s="1"/>
      <c r="D5575" s="1"/>
    </row>
    <row r="5576" spans="3:4" x14ac:dyDescent="0.3">
      <c r="C5576" s="1"/>
      <c r="D5576" s="1"/>
    </row>
    <row r="5577" spans="3:4" x14ac:dyDescent="0.3">
      <c r="C5577" s="1"/>
      <c r="D5577" s="1"/>
    </row>
    <row r="5578" spans="3:4" x14ac:dyDescent="0.3">
      <c r="C5578" s="1"/>
    </row>
    <row r="5579" spans="3:4" x14ac:dyDescent="0.3">
      <c r="C5579" s="1"/>
    </row>
    <row r="5580" spans="3:4" x14ac:dyDescent="0.3">
      <c r="C5580" s="1"/>
    </row>
    <row r="5581" spans="3:4" x14ac:dyDescent="0.3">
      <c r="C5581" s="1"/>
    </row>
    <row r="5582" spans="3:4" x14ac:dyDescent="0.3">
      <c r="C5582" s="1"/>
    </row>
    <row r="5583" spans="3:4" x14ac:dyDescent="0.3">
      <c r="C5583" s="1"/>
      <c r="D5583" s="1"/>
    </row>
    <row r="5584" spans="3:4" x14ac:dyDescent="0.3">
      <c r="C5584" s="1"/>
    </row>
    <row r="5586" spans="3:4" x14ac:dyDescent="0.3">
      <c r="D5586" s="1"/>
    </row>
    <row r="5587" spans="3:4" x14ac:dyDescent="0.3">
      <c r="D5587" s="1"/>
    </row>
    <row r="5588" spans="3:4" x14ac:dyDescent="0.3">
      <c r="D5588" s="1"/>
    </row>
    <row r="5591" spans="3:4" x14ac:dyDescent="0.3">
      <c r="C5591" s="1"/>
      <c r="D5591" s="1"/>
    </row>
    <row r="5592" spans="3:4" x14ac:dyDescent="0.3">
      <c r="C5592" s="1"/>
      <c r="D5592" s="1"/>
    </row>
    <row r="5601" spans="3:4" x14ac:dyDescent="0.3">
      <c r="C5601" s="1"/>
      <c r="D5601" s="1"/>
    </row>
    <row r="5602" spans="3:4" x14ac:dyDescent="0.3">
      <c r="C5602" s="1"/>
      <c r="D5602" s="1"/>
    </row>
    <row r="5603" spans="3:4" x14ac:dyDescent="0.3">
      <c r="C5603" s="1"/>
      <c r="D5603" s="1"/>
    </row>
    <row r="5606" spans="3:4" x14ac:dyDescent="0.3">
      <c r="C5606" s="1"/>
      <c r="D5606" s="1"/>
    </row>
    <row r="5610" spans="3:4" x14ac:dyDescent="0.3">
      <c r="C5610" s="1"/>
      <c r="D5610" s="1"/>
    </row>
    <row r="5611" spans="3:4" x14ac:dyDescent="0.3">
      <c r="D5611" s="1"/>
    </row>
    <row r="5612" spans="3:4" x14ac:dyDescent="0.3">
      <c r="C5612" s="1"/>
      <c r="D5612" s="1"/>
    </row>
    <row r="5615" spans="3:4" x14ac:dyDescent="0.3">
      <c r="C5615" s="1"/>
      <c r="D5615" s="1"/>
    </row>
    <row r="5619" spans="3:4" x14ac:dyDescent="0.3">
      <c r="D5619" s="1"/>
    </row>
    <row r="5627" spans="3:4" x14ac:dyDescent="0.3">
      <c r="D5627" s="1"/>
    </row>
    <row r="5628" spans="3:4" x14ac:dyDescent="0.3">
      <c r="D5628" s="1"/>
    </row>
    <row r="5629" spans="3:4" x14ac:dyDescent="0.3">
      <c r="D5629" s="1"/>
    </row>
    <row r="5630" spans="3:4" x14ac:dyDescent="0.3">
      <c r="D5630" s="1"/>
    </row>
    <row r="5632" spans="3:4" x14ac:dyDescent="0.3">
      <c r="C5632" s="1"/>
    </row>
    <row r="5633" spans="3:4" x14ac:dyDescent="0.3">
      <c r="C5633" s="1"/>
    </row>
    <row r="5634" spans="3:4" x14ac:dyDescent="0.3">
      <c r="C5634" s="1"/>
    </row>
    <row r="5636" spans="3:4" x14ac:dyDescent="0.3">
      <c r="C5636" s="1"/>
      <c r="D5636" s="1"/>
    </row>
    <row r="5637" spans="3:4" x14ac:dyDescent="0.3">
      <c r="C5637" s="1"/>
      <c r="D5637" s="1"/>
    </row>
    <row r="5638" spans="3:4" x14ac:dyDescent="0.3">
      <c r="C5638" s="1"/>
      <c r="D5638" s="1"/>
    </row>
    <row r="5639" spans="3:4" x14ac:dyDescent="0.3">
      <c r="D5639" s="1"/>
    </row>
    <row r="5643" spans="3:4" x14ac:dyDescent="0.3">
      <c r="C5643" s="1"/>
      <c r="D5643" s="1"/>
    </row>
    <row r="5644" spans="3:4" x14ac:dyDescent="0.3">
      <c r="C5644" s="1"/>
      <c r="D5644" s="1"/>
    </row>
    <row r="5648" spans="3:4" x14ac:dyDescent="0.3">
      <c r="C5648" s="1"/>
      <c r="D5648" s="1"/>
    </row>
    <row r="5649" spans="3:4" x14ac:dyDescent="0.3">
      <c r="C5649" s="1"/>
      <c r="D5649" s="1"/>
    </row>
    <row r="5654" spans="3:4" x14ac:dyDescent="0.3">
      <c r="C5654" s="1"/>
      <c r="D5654" s="1"/>
    </row>
    <row r="5655" spans="3:4" x14ac:dyDescent="0.3">
      <c r="C5655" s="1"/>
      <c r="D5655" s="1"/>
    </row>
    <row r="5663" spans="3:4" x14ac:dyDescent="0.3">
      <c r="D5663" s="1"/>
    </row>
    <row r="5664" spans="3:4" x14ac:dyDescent="0.3">
      <c r="D5664" s="1"/>
    </row>
    <row r="5669" spans="3:4" x14ac:dyDescent="0.3">
      <c r="C5669" s="1"/>
    </row>
    <row r="5670" spans="3:4" x14ac:dyDescent="0.3">
      <c r="C5670" s="1"/>
    </row>
    <row r="5671" spans="3:4" x14ac:dyDescent="0.3">
      <c r="C5671" s="1"/>
    </row>
    <row r="5672" spans="3:4" x14ac:dyDescent="0.3">
      <c r="C5672" s="1"/>
      <c r="D5672" s="1"/>
    </row>
    <row r="5673" spans="3:4" x14ac:dyDescent="0.3">
      <c r="C5673" s="1"/>
      <c r="D5673" s="1"/>
    </row>
    <row r="5674" spans="3:4" x14ac:dyDescent="0.3">
      <c r="D5674" s="1"/>
    </row>
    <row r="5675" spans="3:4" x14ac:dyDescent="0.3">
      <c r="D5675" s="1"/>
    </row>
    <row r="5677" spans="3:4" x14ac:dyDescent="0.3">
      <c r="D5677" s="1"/>
    </row>
    <row r="5678" spans="3:4" x14ac:dyDescent="0.3">
      <c r="D5678" s="1"/>
    </row>
    <row r="5679" spans="3:4" x14ac:dyDescent="0.3">
      <c r="D5679" s="1"/>
    </row>
    <row r="5680" spans="3:4" x14ac:dyDescent="0.3">
      <c r="D5680" s="1"/>
    </row>
    <row r="5681" spans="3:4" x14ac:dyDescent="0.3">
      <c r="D5681" s="1"/>
    </row>
    <row r="5684" spans="3:4" x14ac:dyDescent="0.3">
      <c r="C5684" s="1"/>
      <c r="D5684" s="1"/>
    </row>
    <row r="5685" spans="3:4" x14ac:dyDescent="0.3">
      <c r="C5685" s="1"/>
      <c r="D5685" s="1"/>
    </row>
    <row r="5686" spans="3:4" x14ac:dyDescent="0.3">
      <c r="C5686" s="1"/>
      <c r="D5686" s="1"/>
    </row>
    <row r="5687" spans="3:4" x14ac:dyDescent="0.3">
      <c r="C5687" s="1"/>
      <c r="D5687" s="1"/>
    </row>
    <row r="5692" spans="3:4" x14ac:dyDescent="0.3">
      <c r="C5692" s="1"/>
    </row>
    <row r="5693" spans="3:4" x14ac:dyDescent="0.3">
      <c r="C5693" s="1"/>
    </row>
    <row r="5694" spans="3:4" x14ac:dyDescent="0.3">
      <c r="C5694" s="1"/>
    </row>
    <row r="5695" spans="3:4" x14ac:dyDescent="0.3">
      <c r="C5695" s="1"/>
    </row>
    <row r="5696" spans="3:4" x14ac:dyDescent="0.3">
      <c r="C5696" s="1"/>
    </row>
    <row r="5697" spans="3:4" x14ac:dyDescent="0.3">
      <c r="C5697" s="1"/>
      <c r="D5697" s="1"/>
    </row>
    <row r="5700" spans="3:4" x14ac:dyDescent="0.3">
      <c r="C5700" s="1"/>
      <c r="D5700" s="1"/>
    </row>
    <row r="5701" spans="3:4" x14ac:dyDescent="0.3">
      <c r="C5701" s="1"/>
      <c r="D5701" s="1"/>
    </row>
    <row r="5707" spans="3:4" x14ac:dyDescent="0.3">
      <c r="C5707" s="1"/>
      <c r="D5707" s="1"/>
    </row>
    <row r="5709" spans="3:4" x14ac:dyDescent="0.3">
      <c r="C5709" s="1"/>
    </row>
    <row r="5710" spans="3:4" x14ac:dyDescent="0.3">
      <c r="C5710" s="1"/>
    </row>
    <row r="5711" spans="3:4" x14ac:dyDescent="0.3">
      <c r="C5711" s="1"/>
    </row>
    <row r="5712" spans="3:4" x14ac:dyDescent="0.3">
      <c r="C5712" s="1"/>
    </row>
    <row r="5713" spans="3:4" x14ac:dyDescent="0.3">
      <c r="C5713" s="1"/>
    </row>
    <row r="5715" spans="3:4" x14ac:dyDescent="0.3">
      <c r="C5715" s="1"/>
      <c r="D5715" s="1"/>
    </row>
    <row r="5717" spans="3:4" x14ac:dyDescent="0.3">
      <c r="C5717" s="1"/>
      <c r="D5717" s="1"/>
    </row>
    <row r="5718" spans="3:4" x14ac:dyDescent="0.3">
      <c r="C5718" s="1"/>
      <c r="D5718" s="1"/>
    </row>
    <row r="5719" spans="3:4" x14ac:dyDescent="0.3">
      <c r="C5719" s="1"/>
      <c r="D5719" s="1"/>
    </row>
    <row r="5720" spans="3:4" x14ac:dyDescent="0.3">
      <c r="C5720" s="1"/>
      <c r="D5720" s="1"/>
    </row>
    <row r="5721" spans="3:4" x14ac:dyDescent="0.3">
      <c r="D5721" s="1"/>
    </row>
    <row r="5728" spans="3:4" x14ac:dyDescent="0.3">
      <c r="C5728" s="1"/>
      <c r="D5728" s="1"/>
    </row>
    <row r="5729" spans="3:4" x14ac:dyDescent="0.3">
      <c r="C5729" s="1"/>
    </row>
    <row r="5730" spans="3:4" x14ac:dyDescent="0.3">
      <c r="C5730" s="1"/>
    </row>
    <row r="5731" spans="3:4" x14ac:dyDescent="0.3">
      <c r="C5731" s="1"/>
    </row>
    <row r="5732" spans="3:4" x14ac:dyDescent="0.3">
      <c r="C5732" s="1"/>
    </row>
    <row r="5733" spans="3:4" x14ac:dyDescent="0.3">
      <c r="C5733" s="1"/>
    </row>
    <row r="5734" spans="3:4" x14ac:dyDescent="0.3">
      <c r="D5734" s="1"/>
    </row>
    <row r="5735" spans="3:4" x14ac:dyDescent="0.3">
      <c r="D5735" s="1"/>
    </row>
    <row r="5736" spans="3:4" x14ac:dyDescent="0.3">
      <c r="D5736" s="1"/>
    </row>
    <row r="5737" spans="3:4" x14ac:dyDescent="0.3">
      <c r="D5737" s="1"/>
    </row>
    <row r="5740" spans="3:4" x14ac:dyDescent="0.3">
      <c r="D5740" s="1"/>
    </row>
    <row r="5748" spans="3:4" x14ac:dyDescent="0.3">
      <c r="C5748" s="1"/>
      <c r="D5748" s="1"/>
    </row>
    <row r="5749" spans="3:4" x14ac:dyDescent="0.3">
      <c r="C5749" s="1"/>
      <c r="D5749" s="1"/>
    </row>
    <row r="5750" spans="3:4" x14ac:dyDescent="0.3">
      <c r="C5750" s="1"/>
      <c r="D5750" s="1"/>
    </row>
    <row r="5752" spans="3:4" x14ac:dyDescent="0.3">
      <c r="D5752" s="1"/>
    </row>
    <row r="5755" spans="3:4" x14ac:dyDescent="0.3">
      <c r="C5755" s="1"/>
      <c r="D5755" s="1"/>
    </row>
    <row r="5756" spans="3:4" x14ac:dyDescent="0.3">
      <c r="D5756" s="1"/>
    </row>
    <row r="5759" spans="3:4" x14ac:dyDescent="0.3">
      <c r="C5759" s="1"/>
    </row>
    <row r="5763" spans="3:4" x14ac:dyDescent="0.3">
      <c r="C5763" s="1"/>
    </row>
    <row r="5764" spans="3:4" x14ac:dyDescent="0.3">
      <c r="C5764" s="1"/>
    </row>
    <row r="5765" spans="3:4" x14ac:dyDescent="0.3">
      <c r="C5765" s="1"/>
      <c r="D5765" s="1"/>
    </row>
    <row r="5766" spans="3:4" x14ac:dyDescent="0.3">
      <c r="C5766" s="1"/>
      <c r="D5766" s="1"/>
    </row>
    <row r="5767" spans="3:4" x14ac:dyDescent="0.3">
      <c r="C5767" s="1"/>
    </row>
    <row r="5768" spans="3:4" x14ac:dyDescent="0.3">
      <c r="C5768" s="1"/>
    </row>
    <row r="5769" spans="3:4" x14ac:dyDescent="0.3">
      <c r="C5769" s="1"/>
      <c r="D5769" s="1"/>
    </row>
    <row r="5770" spans="3:4" x14ac:dyDescent="0.3">
      <c r="D5770" s="1"/>
    </row>
    <row r="5771" spans="3:4" x14ac:dyDescent="0.3">
      <c r="D5771" s="1"/>
    </row>
    <row r="5774" spans="3:4" x14ac:dyDescent="0.3">
      <c r="D5774" s="1"/>
    </row>
    <row r="5775" spans="3:4" x14ac:dyDescent="0.3">
      <c r="D5775" s="1"/>
    </row>
    <row r="5776" spans="3:4" x14ac:dyDescent="0.3">
      <c r="C5776" s="1"/>
    </row>
    <row r="5777" spans="3:4" x14ac:dyDescent="0.3">
      <c r="C5777" s="1"/>
    </row>
    <row r="5778" spans="3:4" x14ac:dyDescent="0.3">
      <c r="C5778" s="1"/>
      <c r="D5778" s="1"/>
    </row>
    <row r="5779" spans="3:4" x14ac:dyDescent="0.3">
      <c r="C5779" s="1"/>
      <c r="D5779" s="1"/>
    </row>
    <row r="5780" spans="3:4" x14ac:dyDescent="0.3">
      <c r="C5780" s="1"/>
    </row>
    <row r="5781" spans="3:4" x14ac:dyDescent="0.3">
      <c r="C5781" s="1"/>
    </row>
    <row r="5782" spans="3:4" x14ac:dyDescent="0.3">
      <c r="C5782" s="1"/>
      <c r="D5782" s="1"/>
    </row>
    <row r="5783" spans="3:4" x14ac:dyDescent="0.3">
      <c r="C5783" s="1"/>
    </row>
    <row r="5784" spans="3:4" x14ac:dyDescent="0.3">
      <c r="C5784" s="1"/>
    </row>
    <row r="5785" spans="3:4" x14ac:dyDescent="0.3">
      <c r="C5785" s="1"/>
    </row>
    <row r="5786" spans="3:4" x14ac:dyDescent="0.3">
      <c r="C5786" s="1"/>
      <c r="D5786" s="1"/>
    </row>
    <row r="5787" spans="3:4" x14ac:dyDescent="0.3">
      <c r="C5787" s="1"/>
      <c r="D5787" s="1"/>
    </row>
    <row r="5788" spans="3:4" x14ac:dyDescent="0.3">
      <c r="C5788" s="1"/>
      <c r="D5788" s="1"/>
    </row>
    <row r="5789" spans="3:4" x14ac:dyDescent="0.3">
      <c r="C5789" s="1"/>
      <c r="D5789" s="1"/>
    </row>
    <row r="5790" spans="3:4" x14ac:dyDescent="0.3">
      <c r="C5790" s="1"/>
    </row>
    <row r="5791" spans="3:4" x14ac:dyDescent="0.3">
      <c r="C5791" s="1"/>
    </row>
    <row r="5792" spans="3:4" x14ac:dyDescent="0.3">
      <c r="D5792" s="1"/>
    </row>
    <row r="5793" spans="3:4" x14ac:dyDescent="0.3">
      <c r="D5793" s="1"/>
    </row>
    <row r="5794" spans="3:4" x14ac:dyDescent="0.3">
      <c r="D5794" s="1"/>
    </row>
    <row r="5795" spans="3:4" x14ac:dyDescent="0.3">
      <c r="D5795" s="1"/>
    </row>
    <row r="5796" spans="3:4" x14ac:dyDescent="0.3">
      <c r="D5796" s="1"/>
    </row>
    <row r="5797" spans="3:4" x14ac:dyDescent="0.3">
      <c r="D5797" s="1"/>
    </row>
    <row r="5798" spans="3:4" x14ac:dyDescent="0.3">
      <c r="D5798" s="1"/>
    </row>
    <row r="5799" spans="3:4" x14ac:dyDescent="0.3">
      <c r="D5799" s="1"/>
    </row>
    <row r="5800" spans="3:4" x14ac:dyDescent="0.3">
      <c r="D5800" s="1"/>
    </row>
    <row r="5802" spans="3:4" x14ac:dyDescent="0.3">
      <c r="C5802" s="1"/>
    </row>
    <row r="5803" spans="3:4" x14ac:dyDescent="0.3">
      <c r="C5803" s="1"/>
    </row>
    <row r="5805" spans="3:4" x14ac:dyDescent="0.3">
      <c r="C5805" s="1"/>
    </row>
    <row r="5808" spans="3:4" x14ac:dyDescent="0.3">
      <c r="C5808" s="1"/>
      <c r="D5808" s="1"/>
    </row>
    <row r="5809" spans="3:4" x14ac:dyDescent="0.3">
      <c r="C5809" s="1"/>
      <c r="D5809" s="1"/>
    </row>
    <row r="5810" spans="3:4" x14ac:dyDescent="0.3">
      <c r="C5810" s="1"/>
      <c r="D5810" s="1"/>
    </row>
    <row r="5811" spans="3:4" x14ac:dyDescent="0.3">
      <c r="C5811" s="1"/>
      <c r="D5811" s="1"/>
    </row>
    <row r="5815" spans="3:4" x14ac:dyDescent="0.3">
      <c r="C5815" s="1"/>
      <c r="D5815" s="1"/>
    </row>
    <row r="5822" spans="3:4" x14ac:dyDescent="0.3">
      <c r="C5822" s="1"/>
    </row>
    <row r="5823" spans="3:4" x14ac:dyDescent="0.3">
      <c r="C5823" s="1"/>
    </row>
    <row r="5824" spans="3:4" x14ac:dyDescent="0.3">
      <c r="C5824" s="1"/>
    </row>
    <row r="5825" spans="3:4" x14ac:dyDescent="0.3">
      <c r="C5825" s="1"/>
    </row>
    <row r="5826" spans="3:4" x14ac:dyDescent="0.3">
      <c r="C5826" s="1"/>
      <c r="D5826" s="1"/>
    </row>
    <row r="5827" spans="3:4" x14ac:dyDescent="0.3">
      <c r="C5827" s="1"/>
      <c r="D5827" s="1"/>
    </row>
    <row r="5828" spans="3:4" x14ac:dyDescent="0.3">
      <c r="C5828" s="1"/>
      <c r="D5828" s="1"/>
    </row>
    <row r="5829" spans="3:4" x14ac:dyDescent="0.3">
      <c r="C5829" s="1"/>
      <c r="D5829" s="1"/>
    </row>
    <row r="5830" spans="3:4" x14ac:dyDescent="0.3">
      <c r="C5830" s="1"/>
      <c r="D5830" s="1"/>
    </row>
    <row r="5831" spans="3:4" x14ac:dyDescent="0.3">
      <c r="C5831" s="1"/>
      <c r="D5831" s="1"/>
    </row>
    <row r="5832" spans="3:4" x14ac:dyDescent="0.3">
      <c r="C5832" s="1"/>
      <c r="D5832" s="1"/>
    </row>
    <row r="5836" spans="3:4" x14ac:dyDescent="0.3">
      <c r="C5836" s="1"/>
    </row>
    <row r="5837" spans="3:4" x14ac:dyDescent="0.3">
      <c r="C5837" s="1"/>
    </row>
    <row r="5838" spans="3:4" x14ac:dyDescent="0.3">
      <c r="C5838" s="1"/>
    </row>
    <row r="5839" spans="3:4" x14ac:dyDescent="0.3">
      <c r="D5839" s="1"/>
    </row>
    <row r="5840" spans="3:4" x14ac:dyDescent="0.3">
      <c r="D5840" s="1"/>
    </row>
    <row r="5850" spans="3:4" x14ac:dyDescent="0.3">
      <c r="C5850" s="1"/>
    </row>
    <row r="5851" spans="3:4" x14ac:dyDescent="0.3">
      <c r="C5851" s="1"/>
    </row>
    <row r="5852" spans="3:4" x14ac:dyDescent="0.3">
      <c r="C5852" s="1"/>
    </row>
    <row r="5853" spans="3:4" x14ac:dyDescent="0.3">
      <c r="C5853" s="1"/>
    </row>
    <row r="5854" spans="3:4" x14ac:dyDescent="0.3">
      <c r="C5854" s="1"/>
    </row>
    <row r="5855" spans="3:4" x14ac:dyDescent="0.3">
      <c r="C5855" s="1"/>
    </row>
    <row r="5856" spans="3:4" x14ac:dyDescent="0.3">
      <c r="C5856" s="1"/>
      <c r="D5856" s="1"/>
    </row>
    <row r="5857" spans="3:4" x14ac:dyDescent="0.3">
      <c r="C5857" s="1"/>
      <c r="D5857" s="1"/>
    </row>
    <row r="5858" spans="3:4" x14ac:dyDescent="0.3">
      <c r="C5858" s="1"/>
      <c r="D5858" s="1"/>
    </row>
    <row r="5859" spans="3:4" x14ac:dyDescent="0.3">
      <c r="C5859" s="1"/>
      <c r="D5859" s="1"/>
    </row>
    <row r="5860" spans="3:4" x14ac:dyDescent="0.3">
      <c r="C5860" s="1"/>
      <c r="D5860" s="1"/>
    </row>
    <row r="5861" spans="3:4" x14ac:dyDescent="0.3">
      <c r="C5861" s="1"/>
      <c r="D5861" s="1"/>
    </row>
    <row r="5862" spans="3:4" x14ac:dyDescent="0.3">
      <c r="D5862" s="1"/>
    </row>
    <row r="5863" spans="3:4" x14ac:dyDescent="0.3">
      <c r="C5863" s="1"/>
      <c r="D5863" s="1"/>
    </row>
    <row r="5864" spans="3:4" x14ac:dyDescent="0.3">
      <c r="C5864" s="1"/>
      <c r="D5864" s="1"/>
    </row>
    <row r="5865" spans="3:4" x14ac:dyDescent="0.3">
      <c r="C5865" s="1"/>
      <c r="D5865" s="1"/>
    </row>
    <row r="5866" spans="3:4" x14ac:dyDescent="0.3">
      <c r="C5866" s="1"/>
      <c r="D5866" s="1"/>
    </row>
    <row r="5867" spans="3:4" x14ac:dyDescent="0.3">
      <c r="C5867" s="1"/>
      <c r="D5867" s="1"/>
    </row>
    <row r="5868" spans="3:4" x14ac:dyDescent="0.3">
      <c r="C5868" s="1"/>
      <c r="D5868" s="1"/>
    </row>
    <row r="5869" spans="3:4" x14ac:dyDescent="0.3">
      <c r="C5869" s="1"/>
      <c r="D5869" s="1"/>
    </row>
    <row r="5870" spans="3:4" x14ac:dyDescent="0.3">
      <c r="C5870" s="1"/>
      <c r="D5870" s="1"/>
    </row>
    <row r="5871" spans="3:4" x14ac:dyDescent="0.3">
      <c r="C5871" s="1"/>
      <c r="D5871" s="1"/>
    </row>
    <row r="5874" spans="3:4" x14ac:dyDescent="0.3">
      <c r="D5874" s="1"/>
    </row>
    <row r="5875" spans="3:4" x14ac:dyDescent="0.3">
      <c r="C5875" s="1"/>
      <c r="D5875" s="1"/>
    </row>
    <row r="5876" spans="3:4" x14ac:dyDescent="0.3">
      <c r="C5876" s="1"/>
      <c r="D5876" s="1"/>
    </row>
    <row r="5877" spans="3:4" x14ac:dyDescent="0.3">
      <c r="C5877" s="1"/>
      <c r="D5877" s="1"/>
    </row>
    <row r="5881" spans="3:4" x14ac:dyDescent="0.3">
      <c r="C5881" s="1"/>
      <c r="D5881" s="1"/>
    </row>
    <row r="5889" spans="3:4" x14ac:dyDescent="0.3">
      <c r="C5889" s="1"/>
      <c r="D5889" s="1"/>
    </row>
    <row r="5890" spans="3:4" x14ac:dyDescent="0.3">
      <c r="C5890" s="1"/>
      <c r="D5890" s="1"/>
    </row>
    <row r="5895" spans="3:4" x14ac:dyDescent="0.3">
      <c r="C5895" s="1"/>
    </row>
    <row r="5896" spans="3:4" x14ac:dyDescent="0.3">
      <c r="C5896" s="1"/>
    </row>
    <row r="5897" spans="3:4" x14ac:dyDescent="0.3">
      <c r="C5897" s="1"/>
      <c r="D5897" s="1"/>
    </row>
    <row r="5898" spans="3:4" x14ac:dyDescent="0.3">
      <c r="C5898" s="1"/>
      <c r="D5898" s="1"/>
    </row>
    <row r="5899" spans="3:4" x14ac:dyDescent="0.3">
      <c r="C5899" s="1"/>
      <c r="D5899" s="1"/>
    </row>
    <row r="5900" spans="3:4" x14ac:dyDescent="0.3">
      <c r="C5900" s="1"/>
      <c r="D5900" s="1"/>
    </row>
    <row r="5901" spans="3:4" x14ac:dyDescent="0.3">
      <c r="C5901" s="1"/>
    </row>
    <row r="5903" spans="3:4" x14ac:dyDescent="0.3">
      <c r="D5903" s="1"/>
    </row>
    <row r="5904" spans="3:4" x14ac:dyDescent="0.3">
      <c r="C5904" s="1"/>
      <c r="D5904" s="1"/>
    </row>
    <row r="5905" spans="3:4" x14ac:dyDescent="0.3">
      <c r="C5905" s="1"/>
      <c r="D5905" s="1"/>
    </row>
    <row r="5906" spans="3:4" x14ac:dyDescent="0.3">
      <c r="C5906" s="1"/>
      <c r="D5906" s="1"/>
    </row>
    <row r="5907" spans="3:4" x14ac:dyDescent="0.3">
      <c r="C5907" s="1"/>
      <c r="D5907" s="1"/>
    </row>
    <row r="5908" spans="3:4" x14ac:dyDescent="0.3">
      <c r="C5908" s="1"/>
      <c r="D5908" s="1"/>
    </row>
    <row r="5909" spans="3:4" x14ac:dyDescent="0.3">
      <c r="C5909" s="1"/>
      <c r="D5909" s="1"/>
    </row>
    <row r="5910" spans="3:4" x14ac:dyDescent="0.3">
      <c r="C5910" s="1"/>
      <c r="D5910" s="1"/>
    </row>
    <row r="5911" spans="3:4" x14ac:dyDescent="0.3">
      <c r="C5911" s="1"/>
      <c r="D5911" s="1"/>
    </row>
    <row r="5912" spans="3:4" x14ac:dyDescent="0.3">
      <c r="C5912" s="1"/>
      <c r="D5912" s="1"/>
    </row>
    <row r="5927" spans="3:4" x14ac:dyDescent="0.3">
      <c r="C5927" s="1"/>
      <c r="D5927" s="1"/>
    </row>
    <row r="5928" spans="3:4" x14ac:dyDescent="0.3">
      <c r="C5928" s="1"/>
      <c r="D5928" s="1"/>
    </row>
    <row r="5929" spans="3:4" x14ac:dyDescent="0.3">
      <c r="C5929" s="1"/>
    </row>
    <row r="5930" spans="3:4" x14ac:dyDescent="0.3">
      <c r="C5930" s="1"/>
    </row>
    <row r="5931" spans="3:4" x14ac:dyDescent="0.3">
      <c r="C5931" s="1"/>
      <c r="D5931" s="1"/>
    </row>
    <row r="5932" spans="3:4" x14ac:dyDescent="0.3">
      <c r="C5932" s="1"/>
      <c r="D5932" s="1"/>
    </row>
    <row r="5933" spans="3:4" x14ac:dyDescent="0.3">
      <c r="C5933" s="1"/>
      <c r="D5933" s="1"/>
    </row>
    <row r="5934" spans="3:4" x14ac:dyDescent="0.3">
      <c r="C5934" s="1"/>
      <c r="D5934" s="1"/>
    </row>
    <row r="5935" spans="3:4" x14ac:dyDescent="0.3">
      <c r="C5935" s="1"/>
      <c r="D5935" s="1"/>
    </row>
    <row r="5936" spans="3:4" x14ac:dyDescent="0.3">
      <c r="C5936" s="1"/>
      <c r="D5936" s="1"/>
    </row>
    <row r="5937" spans="3:4" x14ac:dyDescent="0.3">
      <c r="C5937" s="1"/>
      <c r="D5937" s="1"/>
    </row>
    <row r="5938" spans="3:4" x14ac:dyDescent="0.3">
      <c r="C5938" s="1"/>
      <c r="D5938" s="1"/>
    </row>
    <row r="5939" spans="3:4" x14ac:dyDescent="0.3">
      <c r="C5939" s="1"/>
      <c r="D5939" s="1"/>
    </row>
    <row r="5942" spans="3:4" x14ac:dyDescent="0.3">
      <c r="C5942" s="1"/>
    </row>
    <row r="5943" spans="3:4" x14ac:dyDescent="0.3">
      <c r="C5943" s="1"/>
    </row>
    <row r="5944" spans="3:4" x14ac:dyDescent="0.3">
      <c r="C5944" s="1"/>
    </row>
    <row r="5950" spans="3:4" x14ac:dyDescent="0.3">
      <c r="C5950" s="1"/>
      <c r="D5950" s="1"/>
    </row>
    <row r="5951" spans="3:4" x14ac:dyDescent="0.3">
      <c r="C5951" s="1"/>
      <c r="D5951" s="1"/>
    </row>
    <row r="5952" spans="3:4" x14ac:dyDescent="0.3">
      <c r="C5952" s="1"/>
      <c r="D5952" s="1"/>
    </row>
    <row r="5953" spans="3:4" x14ac:dyDescent="0.3">
      <c r="C5953" s="1"/>
      <c r="D5953" s="1"/>
    </row>
    <row r="5956" spans="3:4" x14ac:dyDescent="0.3">
      <c r="C5956" s="1"/>
    </row>
    <row r="5957" spans="3:4" x14ac:dyDescent="0.3">
      <c r="C5957" s="1"/>
    </row>
    <row r="5958" spans="3:4" x14ac:dyDescent="0.3">
      <c r="C5958" s="1"/>
    </row>
    <row r="5959" spans="3:4" x14ac:dyDescent="0.3">
      <c r="C5959" s="1"/>
    </row>
    <row r="5960" spans="3:4" x14ac:dyDescent="0.3">
      <c r="C5960" s="1"/>
    </row>
    <row r="5961" spans="3:4" x14ac:dyDescent="0.3">
      <c r="C5961" s="1"/>
    </row>
    <row r="5962" spans="3:4" x14ac:dyDescent="0.3">
      <c r="C5962" s="1"/>
    </row>
    <row r="5963" spans="3:4" x14ac:dyDescent="0.3">
      <c r="C5963" s="1"/>
    </row>
    <row r="5964" spans="3:4" x14ac:dyDescent="0.3">
      <c r="C5964" s="1"/>
    </row>
    <row r="5965" spans="3:4" x14ac:dyDescent="0.3">
      <c r="C5965" s="1"/>
    </row>
    <row r="5974" spans="3:4" x14ac:dyDescent="0.3">
      <c r="C5974" s="1"/>
      <c r="D5974" s="1"/>
    </row>
    <row r="5976" spans="3:4" x14ac:dyDescent="0.3">
      <c r="C5976" s="1"/>
    </row>
    <row r="5980" spans="3:4" x14ac:dyDescent="0.3">
      <c r="C5980" s="1"/>
    </row>
    <row r="5981" spans="3:4" x14ac:dyDescent="0.3">
      <c r="C5981" s="1"/>
    </row>
    <row r="5982" spans="3:4" x14ac:dyDescent="0.3">
      <c r="C5982" s="1"/>
    </row>
    <row r="5983" spans="3:4" x14ac:dyDescent="0.3">
      <c r="C5983" s="1"/>
    </row>
    <row r="5995" spans="3:4" x14ac:dyDescent="0.3">
      <c r="C5995" s="1"/>
      <c r="D5995" s="1"/>
    </row>
    <row r="5996" spans="3:4" x14ac:dyDescent="0.3">
      <c r="C5996" s="1"/>
      <c r="D5996" s="1"/>
    </row>
    <row r="5997" spans="3:4" x14ac:dyDescent="0.3">
      <c r="C5997" s="1"/>
      <c r="D5997" s="1"/>
    </row>
    <row r="5998" spans="3:4" x14ac:dyDescent="0.3">
      <c r="C5998" s="1"/>
      <c r="D5998" s="1"/>
    </row>
    <row r="5999" spans="3:4" x14ac:dyDescent="0.3">
      <c r="C5999" s="1"/>
      <c r="D5999" s="1"/>
    </row>
    <row r="6000" spans="3:4" x14ac:dyDescent="0.3">
      <c r="C6000" s="1"/>
    </row>
    <row r="6001" spans="3:4" x14ac:dyDescent="0.3">
      <c r="C6001" s="1"/>
    </row>
    <row r="6002" spans="3:4" x14ac:dyDescent="0.3">
      <c r="C6002" s="1"/>
    </row>
    <row r="6006" spans="3:4" x14ac:dyDescent="0.3">
      <c r="C6006" s="1"/>
      <c r="D6006" s="1"/>
    </row>
    <row r="6007" spans="3:4" x14ac:dyDescent="0.3">
      <c r="C6007" s="1"/>
      <c r="D6007" s="1"/>
    </row>
    <row r="6008" spans="3:4" x14ac:dyDescent="0.3">
      <c r="C6008" s="1"/>
    </row>
    <row r="6009" spans="3:4" x14ac:dyDescent="0.3">
      <c r="C6009" s="1"/>
      <c r="D6009" s="1"/>
    </row>
    <row r="6010" spans="3:4" x14ac:dyDescent="0.3">
      <c r="D6010" s="1"/>
    </row>
    <row r="6011" spans="3:4" x14ac:dyDescent="0.3">
      <c r="D6011" s="1"/>
    </row>
    <row r="6012" spans="3:4" x14ac:dyDescent="0.3">
      <c r="D6012" s="1"/>
    </row>
    <row r="6013" spans="3:4" x14ac:dyDescent="0.3">
      <c r="D6013" s="1"/>
    </row>
    <row r="6014" spans="3:4" x14ac:dyDescent="0.3">
      <c r="D6014" s="1"/>
    </row>
    <row r="6015" spans="3:4" x14ac:dyDescent="0.3">
      <c r="C6015" s="1"/>
      <c r="D6015" s="1"/>
    </row>
    <row r="6016" spans="3:4" x14ac:dyDescent="0.3">
      <c r="C6016" s="1"/>
      <c r="D6016" s="1"/>
    </row>
    <row r="6017" spans="3:4" x14ac:dyDescent="0.3">
      <c r="C6017" s="1"/>
      <c r="D6017" s="1"/>
    </row>
    <row r="6018" spans="3:4" x14ac:dyDescent="0.3">
      <c r="C6018" s="1"/>
      <c r="D6018" s="1"/>
    </row>
    <row r="6019" spans="3:4" x14ac:dyDescent="0.3">
      <c r="C6019" s="1"/>
      <c r="D6019" s="1"/>
    </row>
    <row r="6020" spans="3:4" x14ac:dyDescent="0.3">
      <c r="C6020" s="1"/>
      <c r="D6020" s="1"/>
    </row>
    <row r="6021" spans="3:4" x14ac:dyDescent="0.3">
      <c r="C6021" s="1"/>
      <c r="D6021" s="1"/>
    </row>
    <row r="6028" spans="3:4" x14ac:dyDescent="0.3">
      <c r="D6028" s="1"/>
    </row>
    <row r="6029" spans="3:4" x14ac:dyDescent="0.3">
      <c r="D6029" s="1"/>
    </row>
    <row r="6032" spans="3:4" x14ac:dyDescent="0.3">
      <c r="C6032" s="1"/>
      <c r="D6032" s="1"/>
    </row>
    <row r="6033" spans="3:4" x14ac:dyDescent="0.3">
      <c r="D6033" s="1"/>
    </row>
    <row r="6038" spans="3:4" x14ac:dyDescent="0.3">
      <c r="C6038" s="1"/>
      <c r="D6038" s="1"/>
    </row>
    <row r="6039" spans="3:4" x14ac:dyDescent="0.3">
      <c r="C6039" s="1"/>
      <c r="D6039" s="1"/>
    </row>
    <row r="6040" spans="3:4" x14ac:dyDescent="0.3">
      <c r="C6040" s="1"/>
      <c r="D6040" s="1"/>
    </row>
    <row r="6041" spans="3:4" x14ac:dyDescent="0.3">
      <c r="C6041" s="1"/>
      <c r="D6041" s="1"/>
    </row>
    <row r="6044" spans="3:4" x14ac:dyDescent="0.3">
      <c r="C6044" s="1"/>
      <c r="D6044" s="1"/>
    </row>
    <row r="6047" spans="3:4" x14ac:dyDescent="0.3">
      <c r="C6047" s="1"/>
      <c r="D6047" s="1"/>
    </row>
    <row r="6048" spans="3:4" x14ac:dyDescent="0.3">
      <c r="C6048" s="1"/>
    </row>
    <row r="6049" spans="3:4" x14ac:dyDescent="0.3">
      <c r="C6049" s="1"/>
      <c r="D6049" s="1"/>
    </row>
    <row r="6050" spans="3:4" x14ac:dyDescent="0.3">
      <c r="C6050" s="1"/>
      <c r="D6050" s="1"/>
    </row>
    <row r="6059" spans="3:4" x14ac:dyDescent="0.3">
      <c r="C6059" s="1"/>
      <c r="D6059" s="1"/>
    </row>
    <row r="6060" spans="3:4" x14ac:dyDescent="0.3">
      <c r="C6060" s="1"/>
      <c r="D6060" s="1"/>
    </row>
    <row r="6061" spans="3:4" x14ac:dyDescent="0.3">
      <c r="D6061" s="1"/>
    </row>
    <row r="6062" spans="3:4" x14ac:dyDescent="0.3">
      <c r="C6062" s="1"/>
    </row>
    <row r="6063" spans="3:4" x14ac:dyDescent="0.3">
      <c r="C6063" s="1"/>
    </row>
    <row r="6067" spans="3:4" x14ac:dyDescent="0.3">
      <c r="C6067" s="1"/>
      <c r="D6067" s="1"/>
    </row>
    <row r="6073" spans="3:4" x14ac:dyDescent="0.3">
      <c r="D6073" s="1"/>
    </row>
    <row r="6074" spans="3:4" x14ac:dyDescent="0.3">
      <c r="D6074" s="1"/>
    </row>
    <row r="6075" spans="3:4" x14ac:dyDescent="0.3">
      <c r="D6075" s="1"/>
    </row>
    <row r="6078" spans="3:4" x14ac:dyDescent="0.3">
      <c r="C6078" s="1"/>
      <c r="D6078" s="1"/>
    </row>
    <row r="6079" spans="3:4" x14ac:dyDescent="0.3">
      <c r="C6079" s="1"/>
      <c r="D6079" s="1"/>
    </row>
    <row r="6080" spans="3:4" x14ac:dyDescent="0.3">
      <c r="C6080" s="1"/>
      <c r="D6080" s="1"/>
    </row>
    <row r="6081" spans="3:4" x14ac:dyDescent="0.3">
      <c r="C6081" s="1"/>
      <c r="D6081" s="1"/>
    </row>
    <row r="6082" spans="3:4" x14ac:dyDescent="0.3">
      <c r="C6082" s="1"/>
      <c r="D6082" s="1"/>
    </row>
    <row r="6110" spans="3:3" x14ac:dyDescent="0.3">
      <c r="C6110" s="1"/>
    </row>
    <row r="6111" spans="3:3" x14ac:dyDescent="0.3">
      <c r="C6111" s="1"/>
    </row>
    <row r="6112" spans="3:3" x14ac:dyDescent="0.3">
      <c r="C6112" s="1"/>
    </row>
    <row r="6113" spans="3:4" x14ac:dyDescent="0.3">
      <c r="C6113" s="1"/>
    </row>
    <row r="6114" spans="3:4" x14ac:dyDescent="0.3">
      <c r="C6114" s="1"/>
    </row>
    <row r="6115" spans="3:4" x14ac:dyDescent="0.3">
      <c r="C6115" s="1"/>
    </row>
    <row r="6116" spans="3:4" x14ac:dyDescent="0.3">
      <c r="C6116" s="1"/>
    </row>
    <row r="6124" spans="3:4" x14ac:dyDescent="0.3">
      <c r="C6124" s="1"/>
      <c r="D6124" s="1"/>
    </row>
    <row r="6125" spans="3:4" x14ac:dyDescent="0.3">
      <c r="D6125" s="1"/>
    </row>
    <row r="6126" spans="3:4" x14ac:dyDescent="0.3">
      <c r="C6126" s="1"/>
      <c r="D6126" s="1"/>
    </row>
    <row r="6127" spans="3:4" x14ac:dyDescent="0.3">
      <c r="C6127" s="1"/>
      <c r="D6127" s="1"/>
    </row>
    <row r="6128" spans="3:4" x14ac:dyDescent="0.3">
      <c r="C6128" s="1"/>
      <c r="D6128" s="1"/>
    </row>
    <row r="6129" spans="3:4" x14ac:dyDescent="0.3">
      <c r="D6129" s="1"/>
    </row>
    <row r="6131" spans="3:4" x14ac:dyDescent="0.3">
      <c r="D6131" s="1"/>
    </row>
    <row r="6132" spans="3:4" x14ac:dyDescent="0.3">
      <c r="D6132" s="1"/>
    </row>
    <row r="6136" spans="3:4" x14ac:dyDescent="0.3">
      <c r="C6136" s="1"/>
      <c r="D6136" s="1"/>
    </row>
    <row r="6139" spans="3:4" x14ac:dyDescent="0.3">
      <c r="D6139" s="1"/>
    </row>
    <row r="6140" spans="3:4" x14ac:dyDescent="0.3">
      <c r="D6140" s="1"/>
    </row>
    <row r="6142" spans="3:4" x14ac:dyDescent="0.3">
      <c r="C6142" s="1"/>
    </row>
    <row r="6143" spans="3:4" x14ac:dyDescent="0.3">
      <c r="C6143" s="1"/>
    </row>
    <row r="6144" spans="3:4" x14ac:dyDescent="0.3">
      <c r="C6144" s="1"/>
    </row>
    <row r="6145" spans="3:4" x14ac:dyDescent="0.3">
      <c r="C6145" s="1"/>
    </row>
    <row r="6146" spans="3:4" x14ac:dyDescent="0.3">
      <c r="D6146" s="1"/>
    </row>
    <row r="6152" spans="3:4" x14ac:dyDescent="0.3">
      <c r="C6152" s="1"/>
      <c r="D6152" s="1"/>
    </row>
    <row r="6154" spans="3:4" x14ac:dyDescent="0.3">
      <c r="C6154" s="1"/>
      <c r="D6154" s="1"/>
    </row>
    <row r="6159" spans="3:4" x14ac:dyDescent="0.3">
      <c r="C6159" s="1"/>
      <c r="D6159" s="1"/>
    </row>
    <row r="6160" spans="3:4" x14ac:dyDescent="0.3">
      <c r="C6160" s="1"/>
      <c r="D6160" s="1"/>
    </row>
    <row r="6161" spans="3:4" x14ac:dyDescent="0.3">
      <c r="C6161" s="1"/>
      <c r="D6161" s="1"/>
    </row>
    <row r="6174" spans="3:4" x14ac:dyDescent="0.3">
      <c r="C6174" s="1"/>
      <c r="D6174" s="1"/>
    </row>
    <row r="6175" spans="3:4" x14ac:dyDescent="0.3">
      <c r="C6175" s="1"/>
      <c r="D6175" s="1"/>
    </row>
    <row r="6176" spans="3:4" x14ac:dyDescent="0.3">
      <c r="C6176" s="1"/>
      <c r="D6176" s="1"/>
    </row>
    <row r="6186" spans="3:4" x14ac:dyDescent="0.3">
      <c r="C6186" s="1"/>
    </row>
    <row r="6187" spans="3:4" x14ac:dyDescent="0.3">
      <c r="C6187" s="1"/>
      <c r="D6187" s="1"/>
    </row>
    <row r="6191" spans="3:4" x14ac:dyDescent="0.3">
      <c r="C6191" s="1"/>
      <c r="D6191" s="1"/>
    </row>
    <row r="6206" spans="3:4" x14ac:dyDescent="0.3">
      <c r="C6206" s="1"/>
      <c r="D6206" s="1"/>
    </row>
    <row r="6210" spans="3:4" x14ac:dyDescent="0.3">
      <c r="D6210" s="1"/>
    </row>
    <row r="6214" spans="3:4" x14ac:dyDescent="0.3">
      <c r="C6214" s="1"/>
    </row>
    <row r="6215" spans="3:4" x14ac:dyDescent="0.3">
      <c r="C6215" s="1"/>
    </row>
    <row r="6216" spans="3:4" x14ac:dyDescent="0.3">
      <c r="C6216" s="1"/>
    </row>
    <row r="6217" spans="3:4" x14ac:dyDescent="0.3">
      <c r="D6217" s="1"/>
    </row>
    <row r="6218" spans="3:4" x14ac:dyDescent="0.3">
      <c r="D6218" s="1"/>
    </row>
    <row r="6219" spans="3:4" x14ac:dyDescent="0.3">
      <c r="D6219" s="1"/>
    </row>
    <row r="6227" spans="3:4" x14ac:dyDescent="0.3">
      <c r="C6227" s="1"/>
      <c r="D6227" s="1"/>
    </row>
    <row r="6228" spans="3:4" x14ac:dyDescent="0.3">
      <c r="C6228" s="1"/>
      <c r="D6228" s="1"/>
    </row>
    <row r="6229" spans="3:4" x14ac:dyDescent="0.3">
      <c r="C6229" s="1"/>
      <c r="D6229" s="1"/>
    </row>
    <row r="6232" spans="3:4" x14ac:dyDescent="0.3">
      <c r="C6232" s="1"/>
    </row>
    <row r="6233" spans="3:4" x14ac:dyDescent="0.3">
      <c r="C6233" s="1"/>
      <c r="D6233" s="1"/>
    </row>
    <row r="6234" spans="3:4" x14ac:dyDescent="0.3">
      <c r="C6234" s="1"/>
      <c r="D6234" s="1"/>
    </row>
    <row r="6235" spans="3:4" x14ac:dyDescent="0.3">
      <c r="C6235" s="1"/>
      <c r="D6235" s="1"/>
    </row>
    <row r="6236" spans="3:4" x14ac:dyDescent="0.3">
      <c r="C6236" s="1"/>
      <c r="D6236" s="1"/>
    </row>
    <row r="6237" spans="3:4" x14ac:dyDescent="0.3">
      <c r="C6237" s="1"/>
      <c r="D6237" s="1"/>
    </row>
    <row r="6240" spans="3:4" x14ac:dyDescent="0.3">
      <c r="C6240" s="1"/>
    </row>
    <row r="6241" spans="3:4" x14ac:dyDescent="0.3">
      <c r="C6241" s="1"/>
    </row>
    <row r="6242" spans="3:4" x14ac:dyDescent="0.3">
      <c r="D6242" s="1"/>
    </row>
    <row r="6249" spans="3:4" x14ac:dyDescent="0.3">
      <c r="D6249" s="1"/>
    </row>
    <row r="6250" spans="3:4" x14ac:dyDescent="0.3">
      <c r="D6250" s="1"/>
    </row>
    <row r="6251" spans="3:4" x14ac:dyDescent="0.3">
      <c r="D6251" s="1"/>
    </row>
    <row r="6252" spans="3:4" x14ac:dyDescent="0.3">
      <c r="D6252" s="1"/>
    </row>
    <row r="6253" spans="3:4" x14ac:dyDescent="0.3">
      <c r="C6253" s="1"/>
      <c r="D6253" s="1"/>
    </row>
    <row r="6254" spans="3:4" x14ac:dyDescent="0.3">
      <c r="C6254" s="1"/>
      <c r="D6254" s="1"/>
    </row>
    <row r="6255" spans="3:4" x14ac:dyDescent="0.3">
      <c r="C6255" s="1"/>
      <c r="D6255" s="1"/>
    </row>
    <row r="6256" spans="3:4" x14ac:dyDescent="0.3">
      <c r="C6256" s="1"/>
    </row>
    <row r="6257" spans="3:4" x14ac:dyDescent="0.3">
      <c r="C6257" s="1"/>
    </row>
    <row r="6258" spans="3:4" x14ac:dyDescent="0.3">
      <c r="C6258" s="1"/>
      <c r="D6258" s="1"/>
    </row>
    <row r="6259" spans="3:4" x14ac:dyDescent="0.3">
      <c r="C6259" s="1"/>
      <c r="D6259" s="1"/>
    </row>
    <row r="6262" spans="3:4" x14ac:dyDescent="0.3">
      <c r="C6262" s="1"/>
    </row>
    <row r="6265" spans="3:4" x14ac:dyDescent="0.3">
      <c r="C6265" s="1"/>
      <c r="D6265" s="1"/>
    </row>
    <row r="6266" spans="3:4" x14ac:dyDescent="0.3">
      <c r="C6266" s="1"/>
      <c r="D6266" s="1"/>
    </row>
    <row r="6267" spans="3:4" x14ac:dyDescent="0.3">
      <c r="C6267" s="1"/>
      <c r="D6267" s="1"/>
    </row>
    <row r="6268" spans="3:4" x14ac:dyDescent="0.3">
      <c r="C6268" s="1"/>
      <c r="D6268" s="1"/>
    </row>
    <row r="6269" spans="3:4" x14ac:dyDescent="0.3">
      <c r="C6269" s="1"/>
      <c r="D6269" s="1"/>
    </row>
    <row r="6270" spans="3:4" x14ac:dyDescent="0.3">
      <c r="C6270" s="1"/>
      <c r="D6270" s="1"/>
    </row>
    <row r="6271" spans="3:4" x14ac:dyDescent="0.3">
      <c r="C6271" s="1"/>
      <c r="D6271" s="1"/>
    </row>
    <row r="6272" spans="3:4" x14ac:dyDescent="0.3">
      <c r="C6272" s="1"/>
      <c r="D6272" s="1"/>
    </row>
    <row r="6273" spans="3:4" x14ac:dyDescent="0.3">
      <c r="C6273" s="1"/>
      <c r="D6273" s="1"/>
    </row>
    <row r="6274" spans="3:4" x14ac:dyDescent="0.3">
      <c r="C6274" s="1"/>
      <c r="D6274" s="1"/>
    </row>
    <row r="6282" spans="3:4" x14ac:dyDescent="0.3">
      <c r="C6282" s="1"/>
    </row>
    <row r="6289" spans="3:4" x14ac:dyDescent="0.3">
      <c r="C6289" s="1"/>
      <c r="D6289" s="1"/>
    </row>
    <row r="6290" spans="3:4" x14ac:dyDescent="0.3">
      <c r="C6290" s="1"/>
      <c r="D6290" s="1"/>
    </row>
    <row r="6293" spans="3:4" x14ac:dyDescent="0.3">
      <c r="C6293" s="1"/>
      <c r="D6293" s="1"/>
    </row>
    <row r="6297" spans="3:4" x14ac:dyDescent="0.3">
      <c r="D6297" s="1"/>
    </row>
    <row r="6298" spans="3:4" x14ac:dyDescent="0.3">
      <c r="D6298" s="1"/>
    </row>
    <row r="6299" spans="3:4" x14ac:dyDescent="0.3">
      <c r="D6299" s="1"/>
    </row>
    <row r="6301" spans="3:4" x14ac:dyDescent="0.3">
      <c r="D6301" s="1"/>
    </row>
    <row r="6302" spans="3:4" x14ac:dyDescent="0.3">
      <c r="C6302" s="1"/>
      <c r="D6302" s="1"/>
    </row>
    <row r="6303" spans="3:4" x14ac:dyDescent="0.3">
      <c r="C6303" s="1"/>
      <c r="D6303" s="1"/>
    </row>
    <row r="6306" spans="3:4" x14ac:dyDescent="0.3">
      <c r="C6306" s="1"/>
      <c r="D6306" s="1"/>
    </row>
    <row r="6307" spans="3:4" x14ac:dyDescent="0.3">
      <c r="C6307" s="1"/>
      <c r="D6307" s="1"/>
    </row>
    <row r="6308" spans="3:4" x14ac:dyDescent="0.3">
      <c r="C6308" s="1"/>
      <c r="D6308" s="1"/>
    </row>
    <row r="6309" spans="3:4" x14ac:dyDescent="0.3">
      <c r="C6309" s="1"/>
      <c r="D6309" s="1"/>
    </row>
    <row r="6310" spans="3:4" x14ac:dyDescent="0.3">
      <c r="C6310" s="1"/>
      <c r="D6310" s="1"/>
    </row>
    <row r="6311" spans="3:4" x14ac:dyDescent="0.3">
      <c r="C6311" s="1"/>
      <c r="D6311" s="1"/>
    </row>
    <row r="6312" spans="3:4" x14ac:dyDescent="0.3">
      <c r="C6312" s="1"/>
      <c r="D6312" s="1"/>
    </row>
    <row r="6313" spans="3:4" x14ac:dyDescent="0.3">
      <c r="C6313" s="1"/>
    </row>
    <row r="6322" spans="3:4" x14ac:dyDescent="0.3">
      <c r="D6322" s="1"/>
    </row>
    <row r="6324" spans="3:4" x14ac:dyDescent="0.3">
      <c r="C6324" s="1"/>
      <c r="D6324" s="1"/>
    </row>
    <row r="6326" spans="3:4" x14ac:dyDescent="0.3">
      <c r="D6326" s="1"/>
    </row>
    <row r="6327" spans="3:4" x14ac:dyDescent="0.3">
      <c r="D6327" s="1"/>
    </row>
    <row r="6336" spans="3:4" x14ac:dyDescent="0.3">
      <c r="C6336" s="1"/>
    </row>
    <row r="6337" spans="3:4" x14ac:dyDescent="0.3">
      <c r="C6337" s="1"/>
    </row>
    <row r="6338" spans="3:4" x14ac:dyDescent="0.3">
      <c r="D6338" s="1"/>
    </row>
    <row r="6339" spans="3:4" x14ac:dyDescent="0.3">
      <c r="D6339" s="1"/>
    </row>
    <row r="6340" spans="3:4" x14ac:dyDescent="0.3">
      <c r="C6340" s="1"/>
      <c r="D6340" s="1"/>
    </row>
    <row r="6341" spans="3:4" x14ac:dyDescent="0.3">
      <c r="C6341" s="1"/>
      <c r="D6341" s="1"/>
    </row>
    <row r="6342" spans="3:4" x14ac:dyDescent="0.3">
      <c r="C6342" s="1"/>
      <c r="D6342" s="1"/>
    </row>
    <row r="6343" spans="3:4" x14ac:dyDescent="0.3">
      <c r="D6343" s="1"/>
    </row>
    <row r="6344" spans="3:4" x14ac:dyDescent="0.3">
      <c r="C6344" s="1"/>
      <c r="D6344" s="1"/>
    </row>
    <row r="6345" spans="3:4" x14ac:dyDescent="0.3">
      <c r="C6345" s="1"/>
      <c r="D6345" s="1"/>
    </row>
    <row r="6346" spans="3:4" x14ac:dyDescent="0.3">
      <c r="C6346" s="1"/>
      <c r="D6346" s="1"/>
    </row>
    <row r="6347" spans="3:4" x14ac:dyDescent="0.3">
      <c r="C6347" s="1"/>
      <c r="D6347" s="1"/>
    </row>
    <row r="6349" spans="3:4" x14ac:dyDescent="0.3">
      <c r="C6349" s="1"/>
      <c r="D6349" s="1"/>
    </row>
    <row r="6350" spans="3:4" x14ac:dyDescent="0.3">
      <c r="C6350" s="1"/>
      <c r="D6350" s="1"/>
    </row>
    <row r="6351" spans="3:4" x14ac:dyDescent="0.3">
      <c r="C6351" s="1"/>
      <c r="D6351" s="1"/>
    </row>
    <row r="6352" spans="3:4" x14ac:dyDescent="0.3">
      <c r="C6352" s="1"/>
      <c r="D6352" s="1"/>
    </row>
    <row r="6353" spans="3:4" x14ac:dyDescent="0.3">
      <c r="C6353" s="1"/>
      <c r="D6353" s="1"/>
    </row>
    <row r="6355" spans="3:4" x14ac:dyDescent="0.3">
      <c r="C6355" s="1"/>
      <c r="D6355" s="1"/>
    </row>
    <row r="6356" spans="3:4" x14ac:dyDescent="0.3">
      <c r="C6356" s="1"/>
      <c r="D6356" s="1"/>
    </row>
    <row r="6357" spans="3:4" x14ac:dyDescent="0.3">
      <c r="C6357" s="1"/>
    </row>
    <row r="6362" spans="3:4" x14ac:dyDescent="0.3">
      <c r="C6362" s="1"/>
    </row>
    <row r="6367" spans="3:4" x14ac:dyDescent="0.3">
      <c r="C6367" s="1"/>
      <c r="D6367" s="1"/>
    </row>
    <row r="6368" spans="3:4" x14ac:dyDescent="0.3">
      <c r="C6368" s="1"/>
      <c r="D6368" s="1"/>
    </row>
    <row r="6369" spans="3:4" x14ac:dyDescent="0.3">
      <c r="C6369" s="1"/>
      <c r="D6369" s="1"/>
    </row>
    <row r="6371" spans="3:4" x14ac:dyDescent="0.3">
      <c r="C6371" s="1"/>
      <c r="D6371" s="1"/>
    </row>
    <row r="6373" spans="3:4" x14ac:dyDescent="0.3">
      <c r="C6373" s="1"/>
      <c r="D6373" s="1"/>
    </row>
    <row r="6374" spans="3:4" x14ac:dyDescent="0.3">
      <c r="C6374" s="1"/>
      <c r="D6374" s="1"/>
    </row>
    <row r="6375" spans="3:4" x14ac:dyDescent="0.3">
      <c r="C6375" s="1"/>
      <c r="D6375" s="1"/>
    </row>
    <row r="6376" spans="3:4" x14ac:dyDescent="0.3">
      <c r="D6376" s="1"/>
    </row>
    <row r="6377" spans="3:4" x14ac:dyDescent="0.3">
      <c r="D6377" s="1"/>
    </row>
    <row r="6378" spans="3:4" x14ac:dyDescent="0.3">
      <c r="C6378" s="1"/>
      <c r="D6378" s="1"/>
    </row>
    <row r="6380" spans="3:4" x14ac:dyDescent="0.3">
      <c r="C6380" s="1"/>
    </row>
    <row r="6381" spans="3:4" x14ac:dyDescent="0.3">
      <c r="C6381" s="1"/>
    </row>
    <row r="6382" spans="3:4" x14ac:dyDescent="0.3">
      <c r="C6382" s="1"/>
    </row>
    <row r="6383" spans="3:4" x14ac:dyDescent="0.3">
      <c r="D6383" s="1"/>
    </row>
    <row r="6384" spans="3:4" x14ac:dyDescent="0.3">
      <c r="D6384" s="1"/>
    </row>
    <row r="6389" spans="3:4" x14ac:dyDescent="0.3">
      <c r="D6389" s="1"/>
    </row>
    <row r="6390" spans="3:4" x14ac:dyDescent="0.3">
      <c r="D6390" s="1"/>
    </row>
    <row r="6391" spans="3:4" x14ac:dyDescent="0.3">
      <c r="C6391" s="1"/>
      <c r="D6391" s="1"/>
    </row>
    <row r="6392" spans="3:4" x14ac:dyDescent="0.3">
      <c r="C6392" s="1"/>
      <c r="D6392" s="1"/>
    </row>
    <row r="6399" spans="3:4" x14ac:dyDescent="0.3">
      <c r="D6399" s="1"/>
    </row>
    <row r="6400" spans="3:4" x14ac:dyDescent="0.3">
      <c r="C6400" s="1"/>
      <c r="D6400" s="1"/>
    </row>
    <row r="6401" spans="3:4" x14ac:dyDescent="0.3">
      <c r="C6401" s="1"/>
      <c r="D6401" s="1"/>
    </row>
    <row r="6402" spans="3:4" x14ac:dyDescent="0.3">
      <c r="C6402" s="1"/>
      <c r="D6402" s="1"/>
    </row>
    <row r="6406" spans="3:4" x14ac:dyDescent="0.3">
      <c r="D6406" s="1"/>
    </row>
    <row r="6407" spans="3:4" x14ac:dyDescent="0.3">
      <c r="D6407" s="1"/>
    </row>
    <row r="6408" spans="3:4" x14ac:dyDescent="0.3">
      <c r="D6408" s="1"/>
    </row>
    <row r="6416" spans="3:4" x14ac:dyDescent="0.3">
      <c r="C6416" s="1"/>
    </row>
    <row r="6418" spans="3:4" x14ac:dyDescent="0.3">
      <c r="C6418" s="1"/>
      <c r="D6418" s="1"/>
    </row>
    <row r="6419" spans="3:4" x14ac:dyDescent="0.3">
      <c r="C6419" s="1"/>
      <c r="D6419" s="1"/>
    </row>
    <row r="6420" spans="3:4" x14ac:dyDescent="0.3">
      <c r="D6420" s="1"/>
    </row>
    <row r="6421" spans="3:4" x14ac:dyDescent="0.3">
      <c r="D6421" s="1"/>
    </row>
    <row r="6422" spans="3:4" x14ac:dyDescent="0.3">
      <c r="D6422" s="1"/>
    </row>
    <row r="6423" spans="3:4" x14ac:dyDescent="0.3">
      <c r="D6423" s="1"/>
    </row>
    <row r="6424" spans="3:4" x14ac:dyDescent="0.3">
      <c r="D6424" s="1"/>
    </row>
    <row r="6431" spans="3:4" x14ac:dyDescent="0.3">
      <c r="C6431" s="1"/>
      <c r="D6431" s="1"/>
    </row>
    <row r="6432" spans="3:4" x14ac:dyDescent="0.3">
      <c r="C6432" s="1"/>
      <c r="D6432" s="1"/>
    </row>
    <row r="6433" spans="3:4" x14ac:dyDescent="0.3">
      <c r="C6433" s="1"/>
      <c r="D6433" s="1"/>
    </row>
    <row r="6434" spans="3:4" x14ac:dyDescent="0.3">
      <c r="C6434" s="1"/>
      <c r="D6434" s="1"/>
    </row>
    <row r="6435" spans="3:4" x14ac:dyDescent="0.3">
      <c r="D6435" s="1"/>
    </row>
    <row r="6436" spans="3:4" x14ac:dyDescent="0.3">
      <c r="D6436" s="1"/>
    </row>
    <row r="6441" spans="3:4" x14ac:dyDescent="0.3">
      <c r="C6441" s="1"/>
      <c r="D6441" s="1"/>
    </row>
    <row r="6447" spans="3:4" x14ac:dyDescent="0.3">
      <c r="C6447" s="1"/>
      <c r="D6447" s="1"/>
    </row>
    <row r="6448" spans="3:4" x14ac:dyDescent="0.3">
      <c r="C6448" s="1"/>
      <c r="D6448" s="1"/>
    </row>
    <row r="6449" spans="3:4" x14ac:dyDescent="0.3">
      <c r="C6449" s="1"/>
      <c r="D6449" s="1"/>
    </row>
    <row r="6450" spans="3:4" x14ac:dyDescent="0.3">
      <c r="C6450" s="1"/>
      <c r="D6450" s="1"/>
    </row>
    <row r="6455" spans="3:4" x14ac:dyDescent="0.3">
      <c r="C6455" s="1"/>
    </row>
    <row r="6456" spans="3:4" x14ac:dyDescent="0.3">
      <c r="D6456" s="1"/>
    </row>
    <row r="6457" spans="3:4" x14ac:dyDescent="0.3">
      <c r="D6457" s="1"/>
    </row>
    <row r="6458" spans="3:4" x14ac:dyDescent="0.3">
      <c r="C6458" s="1"/>
      <c r="D6458" s="1"/>
    </row>
    <row r="6459" spans="3:4" x14ac:dyDescent="0.3">
      <c r="C6459" s="1"/>
      <c r="D6459" s="1"/>
    </row>
    <row r="6469" spans="3:4" x14ac:dyDescent="0.3">
      <c r="C6469" s="1"/>
      <c r="D6469" s="1"/>
    </row>
    <row r="6470" spans="3:4" x14ac:dyDescent="0.3">
      <c r="C6470" s="1"/>
      <c r="D6470" s="1"/>
    </row>
    <row r="6471" spans="3:4" x14ac:dyDescent="0.3">
      <c r="C6471" s="1"/>
      <c r="D6471" s="1"/>
    </row>
    <row r="6472" spans="3:4" x14ac:dyDescent="0.3">
      <c r="D6472" s="1"/>
    </row>
    <row r="6473" spans="3:4" x14ac:dyDescent="0.3">
      <c r="D6473" s="1"/>
    </row>
    <row r="6474" spans="3:4" x14ac:dyDescent="0.3">
      <c r="C6474" s="1"/>
      <c r="D6474" s="1"/>
    </row>
    <row r="6477" spans="3:4" x14ac:dyDescent="0.3">
      <c r="C6477" s="1"/>
      <c r="D6477" s="1"/>
    </row>
    <row r="6478" spans="3:4" x14ac:dyDescent="0.3">
      <c r="C6478" s="1"/>
      <c r="D6478" s="1"/>
    </row>
    <row r="6479" spans="3:4" x14ac:dyDescent="0.3">
      <c r="C6479" s="1"/>
      <c r="D6479" s="1"/>
    </row>
    <row r="6480" spans="3:4" x14ac:dyDescent="0.3">
      <c r="C6480" s="1"/>
      <c r="D6480" s="1"/>
    </row>
    <row r="6481" spans="3:4" x14ac:dyDescent="0.3">
      <c r="C6481" s="1"/>
      <c r="D6481" s="1"/>
    </row>
    <row r="6482" spans="3:4" x14ac:dyDescent="0.3">
      <c r="C6482" s="1"/>
      <c r="D6482" s="1"/>
    </row>
    <row r="6483" spans="3:4" x14ac:dyDescent="0.3">
      <c r="C6483" s="1"/>
      <c r="D6483" s="1"/>
    </row>
    <row r="6484" spans="3:4" x14ac:dyDescent="0.3">
      <c r="C6484" s="1"/>
      <c r="D6484" s="1"/>
    </row>
    <row r="6485" spans="3:4" x14ac:dyDescent="0.3">
      <c r="C6485" s="1"/>
      <c r="D6485" s="1"/>
    </row>
    <row r="6486" spans="3:4" x14ac:dyDescent="0.3">
      <c r="C6486" s="1"/>
      <c r="D6486" s="1"/>
    </row>
    <row r="6487" spans="3:4" x14ac:dyDescent="0.3">
      <c r="C6487" s="1"/>
      <c r="D6487" s="1"/>
    </row>
    <row r="6496" spans="3:4" x14ac:dyDescent="0.3">
      <c r="D6496" s="1"/>
    </row>
    <row r="6497" spans="3:4" x14ac:dyDescent="0.3">
      <c r="D6497" s="1"/>
    </row>
    <row r="6498" spans="3:4" x14ac:dyDescent="0.3">
      <c r="D6498" s="1"/>
    </row>
    <row r="6503" spans="3:4" x14ac:dyDescent="0.3">
      <c r="C6503" s="1"/>
      <c r="D6503" s="1"/>
    </row>
    <row r="6504" spans="3:4" x14ac:dyDescent="0.3">
      <c r="C6504" s="1"/>
      <c r="D6504" s="1"/>
    </row>
    <row r="6505" spans="3:4" x14ac:dyDescent="0.3">
      <c r="C6505" s="1"/>
      <c r="D6505" s="1"/>
    </row>
    <row r="6508" spans="3:4" x14ac:dyDescent="0.3">
      <c r="C6508" s="1"/>
      <c r="D6508" s="1"/>
    </row>
    <row r="6509" spans="3:4" x14ac:dyDescent="0.3">
      <c r="C6509" s="1"/>
      <c r="D6509" s="1"/>
    </row>
    <row r="6513" spans="3:4" x14ac:dyDescent="0.3">
      <c r="C6513" s="1"/>
      <c r="D6513" s="1"/>
    </row>
    <row r="6514" spans="3:4" x14ac:dyDescent="0.3">
      <c r="C6514" s="1"/>
      <c r="D6514" s="1"/>
    </row>
    <row r="6515" spans="3:4" x14ac:dyDescent="0.3">
      <c r="C6515" s="1"/>
      <c r="D6515" s="1"/>
    </row>
    <row r="6516" spans="3:4" x14ac:dyDescent="0.3">
      <c r="C6516" s="1"/>
      <c r="D6516" s="1"/>
    </row>
    <row r="6525" spans="3:4" x14ac:dyDescent="0.3">
      <c r="C6525" s="1"/>
    </row>
    <row r="6526" spans="3:4" x14ac:dyDescent="0.3">
      <c r="C6526" s="1"/>
    </row>
    <row r="6527" spans="3:4" x14ac:dyDescent="0.3">
      <c r="C6527" s="1"/>
    </row>
    <row r="6528" spans="3:4" x14ac:dyDescent="0.3">
      <c r="C6528" s="1"/>
    </row>
    <row r="6533" spans="3:4" x14ac:dyDescent="0.3">
      <c r="C6533" s="1"/>
      <c r="D6533" s="1"/>
    </row>
    <row r="6534" spans="3:4" x14ac:dyDescent="0.3">
      <c r="C6534" s="1"/>
      <c r="D6534" s="1"/>
    </row>
    <row r="6535" spans="3:4" x14ac:dyDescent="0.3">
      <c r="C6535" s="1"/>
      <c r="D6535" s="1"/>
    </row>
    <row r="6549" spans="3:4" x14ac:dyDescent="0.3">
      <c r="C6549" s="1"/>
      <c r="D6549" s="1"/>
    </row>
    <row r="6550" spans="3:4" x14ac:dyDescent="0.3">
      <c r="C6550" s="1"/>
      <c r="D6550" s="1"/>
    </row>
    <row r="6551" spans="3:4" x14ac:dyDescent="0.3">
      <c r="D6551" s="1"/>
    </row>
    <row r="6552" spans="3:4" x14ac:dyDescent="0.3">
      <c r="C6552" s="1"/>
      <c r="D6552" s="1"/>
    </row>
    <row r="6560" spans="3:4" x14ac:dyDescent="0.3">
      <c r="C6560" s="1"/>
      <c r="D6560" s="1"/>
    </row>
    <row r="6563" spans="3:4" x14ac:dyDescent="0.3">
      <c r="D6563" s="1"/>
    </row>
    <row r="6564" spans="3:4" x14ac:dyDescent="0.3">
      <c r="C6564" s="1"/>
      <c r="D6564" s="1"/>
    </row>
    <row r="6565" spans="3:4" x14ac:dyDescent="0.3">
      <c r="C6565" s="1"/>
      <c r="D6565" s="1"/>
    </row>
    <row r="6566" spans="3:4" x14ac:dyDescent="0.3">
      <c r="C6566" s="1"/>
      <c r="D6566" s="1"/>
    </row>
    <row r="6567" spans="3:4" x14ac:dyDescent="0.3">
      <c r="C6567" s="1"/>
      <c r="D6567" s="1"/>
    </row>
    <row r="6568" spans="3:4" x14ac:dyDescent="0.3">
      <c r="C6568" s="1"/>
      <c r="D6568" s="1"/>
    </row>
    <row r="6569" spans="3:4" x14ac:dyDescent="0.3">
      <c r="C6569" s="1"/>
      <c r="D6569" s="1"/>
    </row>
    <row r="6574" spans="3:4" x14ac:dyDescent="0.3">
      <c r="C6574" s="1"/>
    </row>
    <row r="6577" spans="3:4" x14ac:dyDescent="0.3">
      <c r="C6577" s="1"/>
      <c r="D6577" s="1"/>
    </row>
    <row r="6578" spans="3:4" x14ac:dyDescent="0.3">
      <c r="C6578" s="1"/>
      <c r="D6578" s="1"/>
    </row>
    <row r="6579" spans="3:4" x14ac:dyDescent="0.3">
      <c r="C6579" s="1"/>
      <c r="D6579" s="1"/>
    </row>
    <row r="6584" spans="3:4" x14ac:dyDescent="0.3">
      <c r="C6584" s="1"/>
      <c r="D6584" s="1"/>
    </row>
    <row r="6593" spans="3:4" x14ac:dyDescent="0.3">
      <c r="D6593" s="1"/>
    </row>
    <row r="6594" spans="3:4" x14ac:dyDescent="0.3">
      <c r="D6594" s="1"/>
    </row>
    <row r="6596" spans="3:4" x14ac:dyDescent="0.3">
      <c r="C6596" s="1"/>
      <c r="D6596" s="1"/>
    </row>
    <row r="6599" spans="3:4" x14ac:dyDescent="0.3">
      <c r="C6599" s="1"/>
      <c r="D6599" s="1"/>
    </row>
    <row r="6600" spans="3:4" x14ac:dyDescent="0.3">
      <c r="C6600" s="1"/>
      <c r="D6600" s="1"/>
    </row>
    <row r="6601" spans="3:4" x14ac:dyDescent="0.3">
      <c r="C6601" s="1"/>
      <c r="D6601" s="1"/>
    </row>
    <row r="6602" spans="3:4" x14ac:dyDescent="0.3">
      <c r="C6602" s="1"/>
      <c r="D6602" s="1"/>
    </row>
    <row r="6603" spans="3:4" x14ac:dyDescent="0.3">
      <c r="C6603" s="1"/>
      <c r="D6603" s="1"/>
    </row>
    <row r="6604" spans="3:4" x14ac:dyDescent="0.3">
      <c r="C6604" s="1"/>
      <c r="D6604" s="1"/>
    </row>
    <row r="6611" spans="3:4" x14ac:dyDescent="0.3">
      <c r="C6611" s="1"/>
      <c r="D6611" s="1"/>
    </row>
    <row r="6624" spans="3:4" x14ac:dyDescent="0.3">
      <c r="C6624" s="1"/>
      <c r="D6624" s="1"/>
    </row>
    <row r="6625" spans="3:4" x14ac:dyDescent="0.3">
      <c r="C6625" s="1"/>
      <c r="D6625" s="1"/>
    </row>
    <row r="6631" spans="3:4" x14ac:dyDescent="0.3">
      <c r="C6631" s="1"/>
      <c r="D6631" s="1"/>
    </row>
    <row r="6634" spans="3:4" x14ac:dyDescent="0.3">
      <c r="C6634" s="1"/>
      <c r="D6634" s="1"/>
    </row>
    <row r="6636" spans="3:4" x14ac:dyDescent="0.3">
      <c r="C6636" s="1"/>
      <c r="D6636" s="1"/>
    </row>
    <row r="6637" spans="3:4" x14ac:dyDescent="0.3">
      <c r="C6637" s="1"/>
      <c r="D6637" s="1"/>
    </row>
    <row r="6638" spans="3:4" x14ac:dyDescent="0.3">
      <c r="C6638" s="1"/>
      <c r="D6638" s="1"/>
    </row>
    <row r="6641" spans="3:4" x14ac:dyDescent="0.3">
      <c r="D6641" s="1"/>
    </row>
    <row r="6642" spans="3:4" x14ac:dyDescent="0.3">
      <c r="C6642" s="1"/>
      <c r="D6642" s="1"/>
    </row>
    <row r="6643" spans="3:4" x14ac:dyDescent="0.3">
      <c r="C6643" s="1"/>
      <c r="D6643" s="1"/>
    </row>
    <row r="6644" spans="3:4" x14ac:dyDescent="0.3">
      <c r="C6644" s="1"/>
      <c r="D6644" s="1"/>
    </row>
    <row r="6645" spans="3:4" x14ac:dyDescent="0.3">
      <c r="C6645" s="1"/>
    </row>
    <row r="6646" spans="3:4" x14ac:dyDescent="0.3">
      <c r="C6646" s="1"/>
    </row>
    <row r="6647" spans="3:4" x14ac:dyDescent="0.3">
      <c r="C6647" s="1"/>
    </row>
    <row r="6650" spans="3:4" x14ac:dyDescent="0.3">
      <c r="C6650" s="1"/>
      <c r="D6650" s="1"/>
    </row>
    <row r="6651" spans="3:4" x14ac:dyDescent="0.3">
      <c r="C6651" s="1"/>
      <c r="D6651" s="1"/>
    </row>
    <row r="6652" spans="3:4" x14ac:dyDescent="0.3">
      <c r="C6652" s="1"/>
      <c r="D6652" s="1"/>
    </row>
    <row r="6653" spans="3:4" x14ac:dyDescent="0.3">
      <c r="C6653" s="1"/>
      <c r="D6653" s="1"/>
    </row>
    <row r="6654" spans="3:4" x14ac:dyDescent="0.3">
      <c r="C6654" s="1"/>
      <c r="D6654" s="1"/>
    </row>
    <row r="6655" spans="3:4" x14ac:dyDescent="0.3">
      <c r="C6655" s="1"/>
      <c r="D6655" s="1"/>
    </row>
    <row r="6662" spans="3:4" x14ac:dyDescent="0.3">
      <c r="C6662" s="1"/>
      <c r="D6662" s="1"/>
    </row>
    <row r="6663" spans="3:4" x14ac:dyDescent="0.3">
      <c r="C6663" s="1"/>
      <c r="D6663" s="1"/>
    </row>
    <row r="6664" spans="3:4" x14ac:dyDescent="0.3">
      <c r="C6664" s="1"/>
      <c r="D6664" s="1"/>
    </row>
    <row r="6665" spans="3:4" x14ac:dyDescent="0.3">
      <c r="D6665" s="1"/>
    </row>
    <row r="6666" spans="3:4" x14ac:dyDescent="0.3">
      <c r="D6666" s="1"/>
    </row>
    <row r="6668" spans="3:4" x14ac:dyDescent="0.3">
      <c r="C6668" s="1"/>
    </row>
    <row r="6669" spans="3:4" x14ac:dyDescent="0.3">
      <c r="C6669" s="1"/>
    </row>
    <row r="6670" spans="3:4" x14ac:dyDescent="0.3">
      <c r="C6670" s="1"/>
    </row>
    <row r="6671" spans="3:4" x14ac:dyDescent="0.3">
      <c r="C6671" s="1"/>
    </row>
    <row r="6674" spans="3:4" x14ac:dyDescent="0.3">
      <c r="C6674" s="1"/>
    </row>
    <row r="6675" spans="3:4" x14ac:dyDescent="0.3">
      <c r="C6675" s="1"/>
      <c r="D6675" s="1"/>
    </row>
    <row r="6680" spans="3:4" x14ac:dyDescent="0.3">
      <c r="C6680" s="1"/>
    </row>
    <row r="6681" spans="3:4" x14ac:dyDescent="0.3">
      <c r="C6681" s="1"/>
      <c r="D6681" s="1"/>
    </row>
    <row r="6682" spans="3:4" x14ac:dyDescent="0.3">
      <c r="C6682" s="1"/>
      <c r="D6682" s="1"/>
    </row>
    <row r="6683" spans="3:4" x14ac:dyDescent="0.3">
      <c r="C6683" s="1"/>
      <c r="D6683" s="1"/>
    </row>
    <row r="6684" spans="3:4" x14ac:dyDescent="0.3">
      <c r="C6684" s="1"/>
      <c r="D6684" s="1"/>
    </row>
    <row r="6685" spans="3:4" x14ac:dyDescent="0.3">
      <c r="C6685" s="1"/>
      <c r="D6685" s="1"/>
    </row>
    <row r="6690" spans="3:4" x14ac:dyDescent="0.3">
      <c r="C6690" s="1"/>
    </row>
    <row r="6691" spans="3:4" x14ac:dyDescent="0.3">
      <c r="C6691" s="1"/>
      <c r="D6691" s="1"/>
    </row>
    <row r="6692" spans="3:4" x14ac:dyDescent="0.3">
      <c r="D6692" s="1"/>
    </row>
    <row r="6693" spans="3:4" x14ac:dyDescent="0.3">
      <c r="D6693" s="1"/>
    </row>
    <row r="6694" spans="3:4" x14ac:dyDescent="0.3">
      <c r="C6694" s="1"/>
    </row>
    <row r="6695" spans="3:4" x14ac:dyDescent="0.3">
      <c r="D6695" s="1"/>
    </row>
    <row r="6697" spans="3:4" x14ac:dyDescent="0.3">
      <c r="C6697" s="1"/>
      <c r="D6697" s="1"/>
    </row>
    <row r="6698" spans="3:4" x14ac:dyDescent="0.3">
      <c r="C6698" s="1"/>
      <c r="D6698" s="1"/>
    </row>
    <row r="6699" spans="3:4" x14ac:dyDescent="0.3">
      <c r="C6699" s="1"/>
      <c r="D6699" s="1"/>
    </row>
    <row r="6708" spans="3:4" x14ac:dyDescent="0.3">
      <c r="C6708" s="1"/>
    </row>
    <row r="6712" spans="3:4" x14ac:dyDescent="0.3">
      <c r="C6712" s="1"/>
      <c r="D6712" s="1"/>
    </row>
    <row r="6718" spans="3:4" x14ac:dyDescent="0.3">
      <c r="C6718" s="1"/>
    </row>
    <row r="6719" spans="3:4" x14ac:dyDescent="0.3">
      <c r="C6719" s="1"/>
    </row>
    <row r="6720" spans="3:4" x14ac:dyDescent="0.3">
      <c r="C6720" s="1"/>
    </row>
    <row r="6725" spans="3:4" x14ac:dyDescent="0.3">
      <c r="C6725" s="1"/>
      <c r="D6725" s="1"/>
    </row>
    <row r="6726" spans="3:4" x14ac:dyDescent="0.3">
      <c r="C6726" s="1"/>
    </row>
    <row r="6727" spans="3:4" x14ac:dyDescent="0.3">
      <c r="C6727" s="1"/>
    </row>
    <row r="6728" spans="3:4" x14ac:dyDescent="0.3">
      <c r="C6728" s="1"/>
    </row>
    <row r="6729" spans="3:4" x14ac:dyDescent="0.3">
      <c r="C6729" s="1"/>
    </row>
    <row r="6730" spans="3:4" x14ac:dyDescent="0.3">
      <c r="C6730" s="1"/>
      <c r="D6730" s="1"/>
    </row>
    <row r="6734" spans="3:4" x14ac:dyDescent="0.3">
      <c r="C6734" s="1"/>
      <c r="D6734" s="1"/>
    </row>
    <row r="6735" spans="3:4" x14ac:dyDescent="0.3">
      <c r="C6735" s="1"/>
      <c r="D6735" s="1"/>
    </row>
    <row r="6737" spans="3:4" x14ac:dyDescent="0.3">
      <c r="C6737" s="1"/>
    </row>
    <row r="6738" spans="3:4" x14ac:dyDescent="0.3">
      <c r="C6738" s="1"/>
    </row>
    <row r="6739" spans="3:4" x14ac:dyDescent="0.3">
      <c r="C6739" s="1"/>
    </row>
    <row r="6740" spans="3:4" x14ac:dyDescent="0.3">
      <c r="C6740" s="1"/>
    </row>
    <row r="6744" spans="3:4" x14ac:dyDescent="0.3">
      <c r="C6744" s="1"/>
      <c r="D6744" s="1"/>
    </row>
    <row r="6749" spans="3:4" x14ac:dyDescent="0.3">
      <c r="C6749" s="1"/>
    </row>
    <row r="6750" spans="3:4" x14ac:dyDescent="0.3">
      <c r="C6750" s="1"/>
    </row>
    <row r="6751" spans="3:4" x14ac:dyDescent="0.3">
      <c r="C6751" s="1"/>
    </row>
    <row r="6761" spans="3:4" x14ac:dyDescent="0.3">
      <c r="C6761" s="1"/>
      <c r="D6761" s="1"/>
    </row>
    <row r="6764" spans="3:4" x14ac:dyDescent="0.3">
      <c r="C6764" s="1"/>
      <c r="D6764" s="1"/>
    </row>
    <row r="6765" spans="3:4" x14ac:dyDescent="0.3">
      <c r="C6765" s="1"/>
      <c r="D6765" s="1"/>
    </row>
    <row r="6766" spans="3:4" x14ac:dyDescent="0.3">
      <c r="C6766" s="1"/>
      <c r="D6766" s="1"/>
    </row>
    <row r="6770" spans="3:4" x14ac:dyDescent="0.3">
      <c r="C6770" s="1"/>
    </row>
    <row r="6772" spans="3:4" x14ac:dyDescent="0.3">
      <c r="C6772" s="1"/>
    </row>
    <row r="6773" spans="3:4" x14ac:dyDescent="0.3">
      <c r="C6773" s="1"/>
    </row>
    <row r="6774" spans="3:4" x14ac:dyDescent="0.3">
      <c r="C6774" s="1"/>
      <c r="D6774" s="1"/>
    </row>
    <row r="6775" spans="3:4" x14ac:dyDescent="0.3">
      <c r="C6775" s="1"/>
      <c r="D6775" s="1"/>
    </row>
    <row r="6776" spans="3:4" x14ac:dyDescent="0.3">
      <c r="C6776" s="1"/>
      <c r="D6776" s="1"/>
    </row>
    <row r="6777" spans="3:4" x14ac:dyDescent="0.3">
      <c r="D6777" s="1"/>
    </row>
    <row r="6778" spans="3:4" x14ac:dyDescent="0.3">
      <c r="C6778" s="1"/>
      <c r="D6778" s="1"/>
    </row>
    <row r="6779" spans="3:4" x14ac:dyDescent="0.3">
      <c r="D6779" s="1"/>
    </row>
    <row r="6780" spans="3:4" x14ac:dyDescent="0.3">
      <c r="C6780" s="1"/>
      <c r="D6780" s="1"/>
    </row>
    <row r="6781" spans="3:4" x14ac:dyDescent="0.3">
      <c r="C6781" s="1"/>
      <c r="D6781" s="1"/>
    </row>
    <row r="6782" spans="3:4" x14ac:dyDescent="0.3">
      <c r="C6782" s="1"/>
      <c r="D6782" s="1"/>
    </row>
    <row r="6783" spans="3:4" x14ac:dyDescent="0.3">
      <c r="C6783" s="1"/>
      <c r="D6783" s="1"/>
    </row>
    <row r="6791" spans="3:4" x14ac:dyDescent="0.3">
      <c r="C6791" s="1"/>
      <c r="D6791" s="1"/>
    </row>
    <row r="6793" spans="3:4" x14ac:dyDescent="0.3">
      <c r="C6793" s="1"/>
    </row>
    <row r="6801" spans="3:4" x14ac:dyDescent="0.3">
      <c r="D6801" s="1"/>
    </row>
    <row r="6802" spans="3:4" x14ac:dyDescent="0.3">
      <c r="D6802" s="1"/>
    </row>
    <row r="6803" spans="3:4" x14ac:dyDescent="0.3">
      <c r="D6803" s="1"/>
    </row>
    <row r="6804" spans="3:4" x14ac:dyDescent="0.3">
      <c r="D6804" s="1"/>
    </row>
    <row r="6805" spans="3:4" x14ac:dyDescent="0.3">
      <c r="D6805" s="1"/>
    </row>
    <row r="6806" spans="3:4" x14ac:dyDescent="0.3">
      <c r="C6806" s="1"/>
      <c r="D6806" s="1"/>
    </row>
    <row r="6809" spans="3:4" x14ac:dyDescent="0.3">
      <c r="D6809" s="1"/>
    </row>
    <row r="6810" spans="3:4" x14ac:dyDescent="0.3">
      <c r="D6810" s="1"/>
    </row>
    <row r="6820" spans="3:4" x14ac:dyDescent="0.3">
      <c r="D6820" s="1"/>
    </row>
    <row r="6821" spans="3:4" x14ac:dyDescent="0.3">
      <c r="D6821" s="1"/>
    </row>
    <row r="6822" spans="3:4" x14ac:dyDescent="0.3">
      <c r="D6822" s="1"/>
    </row>
    <row r="6823" spans="3:4" x14ac:dyDescent="0.3">
      <c r="D6823" s="1"/>
    </row>
    <row r="6824" spans="3:4" x14ac:dyDescent="0.3">
      <c r="C6824" s="1"/>
      <c r="D6824" s="1"/>
    </row>
    <row r="6827" spans="3:4" x14ac:dyDescent="0.3">
      <c r="C6827" s="1"/>
      <c r="D6827" s="1"/>
    </row>
    <row r="6828" spans="3:4" x14ac:dyDescent="0.3">
      <c r="C6828" s="1"/>
      <c r="D6828" s="1"/>
    </row>
    <row r="6829" spans="3:4" x14ac:dyDescent="0.3">
      <c r="C6829" s="1"/>
      <c r="D6829" s="1"/>
    </row>
    <row r="6830" spans="3:4" x14ac:dyDescent="0.3">
      <c r="C6830" s="1"/>
      <c r="D6830" s="1"/>
    </row>
    <row r="6831" spans="3:4" x14ac:dyDescent="0.3">
      <c r="C6831" s="1"/>
      <c r="D6831" s="1"/>
    </row>
    <row r="6834" spans="3:4" x14ac:dyDescent="0.3">
      <c r="C6834" s="1"/>
    </row>
    <row r="6835" spans="3:4" x14ac:dyDescent="0.3">
      <c r="C6835" s="1"/>
      <c r="D6835" s="1"/>
    </row>
    <row r="6839" spans="3:4" x14ac:dyDescent="0.3">
      <c r="C6839" s="1"/>
      <c r="D6839" s="1"/>
    </row>
    <row r="6840" spans="3:4" x14ac:dyDescent="0.3">
      <c r="C6840" s="1"/>
      <c r="D6840" s="1"/>
    </row>
    <row r="6841" spans="3:4" x14ac:dyDescent="0.3">
      <c r="C6841" s="1"/>
      <c r="D6841" s="1"/>
    </row>
    <row r="6842" spans="3:4" x14ac:dyDescent="0.3">
      <c r="C6842" s="1"/>
      <c r="D6842" s="1"/>
    </row>
    <row r="6843" spans="3:4" x14ac:dyDescent="0.3">
      <c r="C6843" s="1"/>
    </row>
    <row r="6844" spans="3:4" x14ac:dyDescent="0.3">
      <c r="C6844" s="1"/>
    </row>
    <row r="6845" spans="3:4" x14ac:dyDescent="0.3">
      <c r="C6845" s="1"/>
    </row>
    <row r="6846" spans="3:4" x14ac:dyDescent="0.3">
      <c r="C6846" s="1"/>
    </row>
    <row r="6847" spans="3:4" x14ac:dyDescent="0.3">
      <c r="C6847" s="1"/>
      <c r="D6847" s="1"/>
    </row>
    <row r="6848" spans="3:4" x14ac:dyDescent="0.3">
      <c r="C6848" s="1"/>
    </row>
    <row r="6852" spans="3:4" x14ac:dyDescent="0.3">
      <c r="C6852" s="1"/>
      <c r="D6852" s="1"/>
    </row>
    <row r="6853" spans="3:4" x14ac:dyDescent="0.3">
      <c r="C6853" s="1"/>
      <c r="D6853" s="1"/>
    </row>
    <row r="6865" spans="3:4" x14ac:dyDescent="0.3">
      <c r="C6865" s="1"/>
      <c r="D6865" s="1"/>
    </row>
    <row r="6873" spans="3:4" x14ac:dyDescent="0.3">
      <c r="C6873" s="1"/>
      <c r="D6873" s="1"/>
    </row>
    <row r="6877" spans="3:4" x14ac:dyDescent="0.3">
      <c r="C6877" s="1"/>
      <c r="D6877" s="1"/>
    </row>
    <row r="6878" spans="3:4" x14ac:dyDescent="0.3">
      <c r="C6878" s="1"/>
      <c r="D6878" s="1"/>
    </row>
    <row r="6881" spans="3:4" x14ac:dyDescent="0.3">
      <c r="C6881" s="1"/>
      <c r="D6881" s="1"/>
    </row>
    <row r="6882" spans="3:4" x14ac:dyDescent="0.3">
      <c r="C6882" s="1"/>
      <c r="D6882" s="1"/>
    </row>
    <row r="6883" spans="3:4" x14ac:dyDescent="0.3">
      <c r="C6883" s="1"/>
      <c r="D6883" s="1"/>
    </row>
    <row r="6884" spans="3:4" x14ac:dyDescent="0.3">
      <c r="C6884" s="1"/>
      <c r="D6884" s="1"/>
    </row>
    <row r="6885" spans="3:4" x14ac:dyDescent="0.3">
      <c r="C6885" s="1"/>
      <c r="D6885" s="1"/>
    </row>
    <row r="6886" spans="3:4" x14ac:dyDescent="0.3">
      <c r="D6886" s="1"/>
    </row>
    <row r="6887" spans="3:4" x14ac:dyDescent="0.3">
      <c r="C6887" s="1"/>
    </row>
    <row r="6888" spans="3:4" x14ac:dyDescent="0.3">
      <c r="C6888" s="1"/>
    </row>
    <row r="6889" spans="3:4" x14ac:dyDescent="0.3">
      <c r="D6889" s="1"/>
    </row>
    <row r="6890" spans="3:4" x14ac:dyDescent="0.3">
      <c r="D6890" s="1"/>
    </row>
    <row r="6902" spans="3:4" x14ac:dyDescent="0.3">
      <c r="C6902" s="1"/>
      <c r="D6902" s="1"/>
    </row>
    <row r="6904" spans="3:4" x14ac:dyDescent="0.3">
      <c r="C6904" s="1"/>
      <c r="D6904" s="1"/>
    </row>
    <row r="6905" spans="3:4" x14ac:dyDescent="0.3">
      <c r="C6905" s="1"/>
      <c r="D6905" s="1"/>
    </row>
    <row r="6906" spans="3:4" x14ac:dyDescent="0.3">
      <c r="C6906" s="1"/>
      <c r="D6906" s="1"/>
    </row>
    <row r="6907" spans="3:4" x14ac:dyDescent="0.3">
      <c r="C6907" s="1"/>
      <c r="D6907" s="1"/>
    </row>
    <row r="6909" spans="3:4" x14ac:dyDescent="0.3">
      <c r="D6909" s="1"/>
    </row>
    <row r="6910" spans="3:4" x14ac:dyDescent="0.3">
      <c r="C6910" s="1"/>
    </row>
    <row r="6912" spans="3:4" x14ac:dyDescent="0.3">
      <c r="D6912" s="1"/>
    </row>
    <row r="6913" spans="3:4" x14ac:dyDescent="0.3">
      <c r="C6913" s="1"/>
      <c r="D6913" s="1"/>
    </row>
    <row r="6914" spans="3:4" x14ac:dyDescent="0.3">
      <c r="C6914" s="1"/>
      <c r="D6914" s="1"/>
    </row>
    <row r="6915" spans="3:4" x14ac:dyDescent="0.3">
      <c r="C6915" s="1"/>
    </row>
    <row r="6922" spans="3:4" x14ac:dyDescent="0.3">
      <c r="D6922" s="1"/>
    </row>
    <row r="6923" spans="3:4" x14ac:dyDescent="0.3">
      <c r="C6923" s="1"/>
      <c r="D6923" s="1"/>
    </row>
    <row r="6926" spans="3:4" x14ac:dyDescent="0.3">
      <c r="D6926" s="1"/>
    </row>
    <row r="6927" spans="3:4" x14ac:dyDescent="0.3">
      <c r="D6927" s="1"/>
    </row>
    <row r="6928" spans="3:4" x14ac:dyDescent="0.3">
      <c r="D6928" s="1"/>
    </row>
    <row r="6937" spans="3:4" x14ac:dyDescent="0.3">
      <c r="D6937" s="1"/>
    </row>
    <row r="6938" spans="3:4" x14ac:dyDescent="0.3">
      <c r="C6938" s="1"/>
      <c r="D6938" s="1"/>
    </row>
    <row r="6940" spans="3:4" x14ac:dyDescent="0.3">
      <c r="C6940" s="1"/>
      <c r="D6940" s="1"/>
    </row>
    <row r="6947" spans="3:4" x14ac:dyDescent="0.3">
      <c r="D6947" s="1"/>
    </row>
    <row r="6948" spans="3:4" x14ac:dyDescent="0.3">
      <c r="C6948" s="1"/>
    </row>
    <row r="6954" spans="3:4" x14ac:dyDescent="0.3">
      <c r="C6954" s="1"/>
      <c r="D6954" s="1"/>
    </row>
    <row r="6955" spans="3:4" x14ac:dyDescent="0.3">
      <c r="C6955" s="1"/>
      <c r="D6955" s="1"/>
    </row>
    <row r="6956" spans="3:4" x14ac:dyDescent="0.3">
      <c r="C6956" s="1"/>
      <c r="D6956" s="1"/>
    </row>
    <row r="6957" spans="3:4" x14ac:dyDescent="0.3">
      <c r="D6957" s="1"/>
    </row>
    <row r="6963" spans="3:4" x14ac:dyDescent="0.3">
      <c r="C6963" s="1"/>
      <c r="D6963" s="1"/>
    </row>
    <row r="6971" spans="3:4" x14ac:dyDescent="0.3">
      <c r="C6971" s="1"/>
    </row>
    <row r="6977" spans="3:4" x14ac:dyDescent="0.3">
      <c r="D6977" s="1"/>
    </row>
    <row r="6978" spans="3:4" x14ac:dyDescent="0.3">
      <c r="D6978" s="1"/>
    </row>
    <row r="6982" spans="3:4" x14ac:dyDescent="0.3">
      <c r="C6982" s="1"/>
      <c r="D6982" s="1"/>
    </row>
    <row r="6983" spans="3:4" x14ac:dyDescent="0.3">
      <c r="C6983" s="1"/>
      <c r="D6983" s="1"/>
    </row>
    <row r="6984" spans="3:4" x14ac:dyDescent="0.3">
      <c r="C6984" s="1"/>
      <c r="D6984" s="1"/>
    </row>
    <row r="6985" spans="3:4" x14ac:dyDescent="0.3">
      <c r="C6985" s="1"/>
      <c r="D6985" s="1"/>
    </row>
    <row r="6986" spans="3:4" x14ac:dyDescent="0.3">
      <c r="C6986" s="1"/>
      <c r="D6986" s="1"/>
    </row>
    <row r="6987" spans="3:4" x14ac:dyDescent="0.3">
      <c r="C6987" s="1"/>
      <c r="D6987" s="1"/>
    </row>
    <row r="6988" spans="3:4" x14ac:dyDescent="0.3">
      <c r="C6988" s="1"/>
      <c r="D6988" s="1"/>
    </row>
    <row r="6989" spans="3:4" x14ac:dyDescent="0.3">
      <c r="C6989" s="1"/>
      <c r="D6989" s="1"/>
    </row>
    <row r="6990" spans="3:4" x14ac:dyDescent="0.3">
      <c r="C6990" s="1"/>
    </row>
    <row r="6991" spans="3:4" x14ac:dyDescent="0.3">
      <c r="C6991" s="1"/>
    </row>
    <row r="6992" spans="3:4" x14ac:dyDescent="0.3">
      <c r="C6992" s="1"/>
    </row>
    <row r="6993" spans="3:4" x14ac:dyDescent="0.3">
      <c r="C6993" s="1"/>
    </row>
    <row r="6994" spans="3:4" x14ac:dyDescent="0.3">
      <c r="C6994" s="1"/>
    </row>
    <row r="6995" spans="3:4" x14ac:dyDescent="0.3">
      <c r="C6995" s="1"/>
    </row>
    <row r="6996" spans="3:4" x14ac:dyDescent="0.3">
      <c r="C6996" s="1"/>
    </row>
    <row r="7003" spans="3:4" x14ac:dyDescent="0.3">
      <c r="D7003" s="1"/>
    </row>
    <row r="7007" spans="3:4" x14ac:dyDescent="0.3">
      <c r="C7007" s="1"/>
      <c r="D7007" s="1"/>
    </row>
    <row r="7015" spans="3:4" x14ac:dyDescent="0.3">
      <c r="C7015" s="1"/>
      <c r="D7015" s="1"/>
    </row>
    <row r="7016" spans="3:4" x14ac:dyDescent="0.3">
      <c r="C7016" s="1"/>
    </row>
    <row r="7017" spans="3:4" x14ac:dyDescent="0.3">
      <c r="C7017" s="1"/>
    </row>
    <row r="7018" spans="3:4" x14ac:dyDescent="0.3">
      <c r="C7018" s="1"/>
    </row>
    <row r="7019" spans="3:4" x14ac:dyDescent="0.3">
      <c r="C7019" s="1"/>
    </row>
    <row r="7027" spans="3:4" x14ac:dyDescent="0.3">
      <c r="C7027" s="1"/>
      <c r="D7027" s="1"/>
    </row>
    <row r="7028" spans="3:4" x14ac:dyDescent="0.3">
      <c r="C7028" s="1"/>
      <c r="D7028" s="1"/>
    </row>
    <row r="7029" spans="3:4" x14ac:dyDescent="0.3">
      <c r="D7029" s="1"/>
    </row>
    <row r="7031" spans="3:4" x14ac:dyDescent="0.3">
      <c r="C7031" s="1"/>
    </row>
    <row r="7032" spans="3:4" x14ac:dyDescent="0.3">
      <c r="C7032" s="1"/>
    </row>
    <row r="7033" spans="3:4" x14ac:dyDescent="0.3">
      <c r="C7033" s="1"/>
    </row>
    <row r="7034" spans="3:4" x14ac:dyDescent="0.3">
      <c r="C7034" s="1"/>
    </row>
    <row r="7035" spans="3:4" x14ac:dyDescent="0.3">
      <c r="C7035" s="1"/>
    </row>
    <row r="7036" spans="3:4" x14ac:dyDescent="0.3">
      <c r="C7036" s="1"/>
    </row>
    <row r="7037" spans="3:4" x14ac:dyDescent="0.3">
      <c r="C7037" s="1"/>
    </row>
    <row r="7038" spans="3:4" x14ac:dyDescent="0.3">
      <c r="C7038" s="1"/>
      <c r="D7038" s="1"/>
    </row>
    <row r="7047" spans="3:4" x14ac:dyDescent="0.3">
      <c r="C7047" s="1"/>
      <c r="D7047" s="1"/>
    </row>
    <row r="7048" spans="3:4" x14ac:dyDescent="0.3">
      <c r="C7048" s="1"/>
      <c r="D7048" s="1"/>
    </row>
    <row r="7049" spans="3:4" x14ac:dyDescent="0.3">
      <c r="C7049" s="1"/>
      <c r="D7049" s="1"/>
    </row>
    <row r="7052" spans="3:4" x14ac:dyDescent="0.3">
      <c r="C7052" s="1"/>
      <c r="D7052" s="1"/>
    </row>
    <row r="7053" spans="3:4" x14ac:dyDescent="0.3">
      <c r="C7053" s="1"/>
      <c r="D7053" s="1"/>
    </row>
    <row r="7054" spans="3:4" x14ac:dyDescent="0.3">
      <c r="C7054" s="1"/>
      <c r="D7054" s="1"/>
    </row>
    <row r="7055" spans="3:4" x14ac:dyDescent="0.3">
      <c r="C7055" s="1"/>
      <c r="D7055" s="1"/>
    </row>
    <row r="7056" spans="3:4" x14ac:dyDescent="0.3">
      <c r="C7056" s="1"/>
      <c r="D7056" s="1"/>
    </row>
    <row r="7057" spans="3:4" x14ac:dyDescent="0.3">
      <c r="C7057" s="1"/>
      <c r="D7057" s="1"/>
    </row>
    <row r="7058" spans="3:4" x14ac:dyDescent="0.3">
      <c r="C7058" s="1"/>
      <c r="D7058" s="1"/>
    </row>
    <row r="7059" spans="3:4" x14ac:dyDescent="0.3">
      <c r="C7059" s="1"/>
      <c r="D7059" s="1"/>
    </row>
    <row r="7060" spans="3:4" x14ac:dyDescent="0.3">
      <c r="C7060" s="1"/>
      <c r="D7060" s="1"/>
    </row>
    <row r="7061" spans="3:4" x14ac:dyDescent="0.3">
      <c r="C7061" s="1"/>
      <c r="D7061" s="1"/>
    </row>
    <row r="7062" spans="3:4" x14ac:dyDescent="0.3">
      <c r="C7062" s="1"/>
      <c r="D7062" s="1"/>
    </row>
    <row r="7063" spans="3:4" x14ac:dyDescent="0.3">
      <c r="C7063" s="1"/>
      <c r="D7063" s="1"/>
    </row>
    <row r="7065" spans="3:4" x14ac:dyDescent="0.3">
      <c r="D7065" s="1"/>
    </row>
    <row r="7066" spans="3:4" x14ac:dyDescent="0.3">
      <c r="C7066" s="1"/>
      <c r="D7066" s="1"/>
    </row>
    <row r="7067" spans="3:4" x14ac:dyDescent="0.3">
      <c r="C7067" s="1"/>
      <c r="D7067" s="1"/>
    </row>
    <row r="7068" spans="3:4" x14ac:dyDescent="0.3">
      <c r="D7068" s="1"/>
    </row>
    <row r="7071" spans="3:4" x14ac:dyDescent="0.3">
      <c r="C7071" s="1"/>
    </row>
    <row r="7072" spans="3:4" x14ac:dyDescent="0.3">
      <c r="C7072" s="1"/>
      <c r="D7072" s="1"/>
    </row>
    <row r="7078" spans="3:4" x14ac:dyDescent="0.3">
      <c r="C7078" s="1"/>
    </row>
    <row r="7079" spans="3:4" x14ac:dyDescent="0.3">
      <c r="C7079" s="1"/>
      <c r="D7079" s="1"/>
    </row>
    <row r="7080" spans="3:4" x14ac:dyDescent="0.3">
      <c r="C7080" s="1"/>
      <c r="D7080" s="1"/>
    </row>
    <row r="7081" spans="3:4" x14ac:dyDescent="0.3">
      <c r="C7081" s="1"/>
      <c r="D7081" s="1"/>
    </row>
    <row r="7082" spans="3:4" x14ac:dyDescent="0.3">
      <c r="C7082" s="1"/>
      <c r="D7082" s="1"/>
    </row>
    <row r="7083" spans="3:4" x14ac:dyDescent="0.3">
      <c r="C7083" s="1"/>
      <c r="D7083" s="1"/>
    </row>
    <row r="7084" spans="3:4" x14ac:dyDescent="0.3">
      <c r="C7084" s="1"/>
      <c r="D7084" s="1"/>
    </row>
    <row r="7089" spans="3:4" x14ac:dyDescent="0.3">
      <c r="C7089" s="1"/>
      <c r="D7089" s="1"/>
    </row>
    <row r="7092" spans="3:4" x14ac:dyDescent="0.3">
      <c r="C7092" s="1"/>
    </row>
    <row r="7093" spans="3:4" x14ac:dyDescent="0.3">
      <c r="C7093" s="1"/>
    </row>
    <row r="7094" spans="3:4" x14ac:dyDescent="0.3">
      <c r="C7094" s="1"/>
    </row>
    <row r="7095" spans="3:4" x14ac:dyDescent="0.3">
      <c r="C7095" s="1"/>
    </row>
    <row r="7096" spans="3:4" x14ac:dyDescent="0.3">
      <c r="C7096" s="1"/>
    </row>
    <row r="7100" spans="3:4" x14ac:dyDescent="0.3">
      <c r="C7100" s="1"/>
      <c r="D7100" s="1"/>
    </row>
    <row r="7103" spans="3:4" x14ac:dyDescent="0.3">
      <c r="C7103" s="1"/>
      <c r="D7103" s="1"/>
    </row>
    <row r="7105" spans="3:4" x14ac:dyDescent="0.3">
      <c r="C7105" s="1"/>
      <c r="D7105" s="1"/>
    </row>
    <row r="7116" spans="3:4" x14ac:dyDescent="0.3">
      <c r="C7116" s="1"/>
      <c r="D7116" s="1"/>
    </row>
    <row r="7117" spans="3:4" x14ac:dyDescent="0.3">
      <c r="C7117" s="1"/>
      <c r="D7117" s="1"/>
    </row>
    <row r="7123" spans="3:4" x14ac:dyDescent="0.3">
      <c r="C7123" s="1"/>
      <c r="D7123" s="1"/>
    </row>
    <row r="7124" spans="3:4" x14ac:dyDescent="0.3">
      <c r="C7124" s="1"/>
      <c r="D7124" s="1"/>
    </row>
    <row r="7125" spans="3:4" x14ac:dyDescent="0.3">
      <c r="C7125" s="1"/>
    </row>
    <row r="7126" spans="3:4" x14ac:dyDescent="0.3">
      <c r="C7126" s="1"/>
    </row>
    <row r="7133" spans="3:4" x14ac:dyDescent="0.3">
      <c r="D7133" s="1"/>
    </row>
    <row r="7134" spans="3:4" x14ac:dyDescent="0.3">
      <c r="D7134" s="1"/>
    </row>
    <row r="7135" spans="3:4" x14ac:dyDescent="0.3">
      <c r="D7135" s="1"/>
    </row>
    <row r="7136" spans="3:4" x14ac:dyDescent="0.3">
      <c r="D7136" s="1"/>
    </row>
    <row r="7137" spans="3:4" x14ac:dyDescent="0.3">
      <c r="D7137" s="1"/>
    </row>
    <row r="7142" spans="3:4" x14ac:dyDescent="0.3">
      <c r="C7142" s="1"/>
      <c r="D7142" s="1"/>
    </row>
    <row r="7143" spans="3:4" x14ac:dyDescent="0.3">
      <c r="C7143" s="1"/>
      <c r="D7143" s="1"/>
    </row>
    <row r="7145" spans="3:4" x14ac:dyDescent="0.3">
      <c r="C7145" s="1"/>
    </row>
    <row r="7146" spans="3:4" x14ac:dyDescent="0.3">
      <c r="C7146" s="1"/>
    </row>
    <row r="7147" spans="3:4" x14ac:dyDescent="0.3">
      <c r="C7147" s="1"/>
    </row>
    <row r="7148" spans="3:4" x14ac:dyDescent="0.3">
      <c r="C7148" s="1"/>
    </row>
    <row r="7149" spans="3:4" x14ac:dyDescent="0.3">
      <c r="C7149" s="1"/>
    </row>
    <row r="7150" spans="3:4" x14ac:dyDescent="0.3">
      <c r="C7150" s="1"/>
    </row>
    <row r="7154" spans="3:4" x14ac:dyDescent="0.3">
      <c r="C7154" s="1"/>
    </row>
    <row r="7155" spans="3:4" x14ac:dyDescent="0.3">
      <c r="C7155" s="1"/>
    </row>
    <row r="7158" spans="3:4" x14ac:dyDescent="0.3">
      <c r="D7158" s="1"/>
    </row>
    <row r="7163" spans="3:4" x14ac:dyDescent="0.3">
      <c r="C7163" s="1"/>
      <c r="D7163" s="1"/>
    </row>
    <row r="7164" spans="3:4" x14ac:dyDescent="0.3">
      <c r="C7164" s="1"/>
      <c r="D7164" s="1"/>
    </row>
    <row r="7172" spans="3:4" x14ac:dyDescent="0.3">
      <c r="C7172" s="1"/>
    </row>
    <row r="7179" spans="3:4" x14ac:dyDescent="0.3">
      <c r="C7179" s="1"/>
      <c r="D7179" s="1"/>
    </row>
    <row r="7180" spans="3:4" x14ac:dyDescent="0.3">
      <c r="C7180" s="1"/>
      <c r="D7180" s="1"/>
    </row>
    <row r="7182" spans="3:4" x14ac:dyDescent="0.3">
      <c r="C7182" s="1"/>
      <c r="D7182" s="1"/>
    </row>
    <row r="7184" spans="3:4" x14ac:dyDescent="0.3">
      <c r="D7184" s="1"/>
    </row>
    <row r="7191" spans="3:4" x14ac:dyDescent="0.3">
      <c r="C7191" s="1"/>
    </row>
    <row r="7192" spans="3:4" x14ac:dyDescent="0.3">
      <c r="C7192" s="1"/>
    </row>
    <row r="7193" spans="3:4" x14ac:dyDescent="0.3">
      <c r="C7193" s="1"/>
      <c r="D7193" s="1"/>
    </row>
    <row r="7194" spans="3:4" x14ac:dyDescent="0.3">
      <c r="C7194" s="1"/>
      <c r="D7194" s="1"/>
    </row>
    <row r="7195" spans="3:4" x14ac:dyDescent="0.3">
      <c r="C7195" s="1"/>
    </row>
    <row r="7196" spans="3:4" x14ac:dyDescent="0.3">
      <c r="C7196" s="1"/>
    </row>
    <row r="7200" spans="3:4" x14ac:dyDescent="0.3">
      <c r="C7200" s="1"/>
    </row>
    <row r="7201" spans="3:4" x14ac:dyDescent="0.3">
      <c r="C7201" s="1"/>
    </row>
    <row r="7202" spans="3:4" x14ac:dyDescent="0.3">
      <c r="D7202" s="1"/>
    </row>
    <row r="7203" spans="3:4" x14ac:dyDescent="0.3">
      <c r="D7203" s="1"/>
    </row>
    <row r="7205" spans="3:4" x14ac:dyDescent="0.3">
      <c r="D7205" s="1"/>
    </row>
    <row r="7206" spans="3:4" x14ac:dyDescent="0.3">
      <c r="C7206" s="1"/>
    </row>
    <row r="7207" spans="3:4" x14ac:dyDescent="0.3">
      <c r="C7207" s="1"/>
      <c r="D7207" s="1"/>
    </row>
    <row r="7208" spans="3:4" x14ac:dyDescent="0.3">
      <c r="C7208" s="1"/>
      <c r="D7208" s="1"/>
    </row>
    <row r="7209" spans="3:4" x14ac:dyDescent="0.3">
      <c r="C7209" s="1"/>
    </row>
    <row r="7210" spans="3:4" x14ac:dyDescent="0.3">
      <c r="C7210" s="1"/>
    </row>
    <row r="7211" spans="3:4" x14ac:dyDescent="0.3">
      <c r="C7211" s="1"/>
    </row>
    <row r="7212" spans="3:4" x14ac:dyDescent="0.3">
      <c r="C7212" s="1"/>
      <c r="D7212" s="1"/>
    </row>
    <row r="7213" spans="3:4" x14ac:dyDescent="0.3">
      <c r="C7213" s="1"/>
      <c r="D7213" s="1"/>
    </row>
    <row r="7214" spans="3:4" x14ac:dyDescent="0.3">
      <c r="C7214" s="1"/>
      <c r="D7214" s="1"/>
    </row>
    <row r="7218" spans="3:4" x14ac:dyDescent="0.3">
      <c r="C7218" s="1"/>
      <c r="D7218" s="1"/>
    </row>
    <row r="7219" spans="3:4" x14ac:dyDescent="0.3">
      <c r="C7219" s="1"/>
      <c r="D7219" s="1"/>
    </row>
    <row r="7220" spans="3:4" x14ac:dyDescent="0.3">
      <c r="C7220" s="1"/>
      <c r="D7220" s="1"/>
    </row>
    <row r="7221" spans="3:4" x14ac:dyDescent="0.3">
      <c r="C7221" s="1"/>
      <c r="D7221" s="1"/>
    </row>
    <row r="7222" spans="3:4" x14ac:dyDescent="0.3">
      <c r="C7222" s="1"/>
    </row>
    <row r="7224" spans="3:4" x14ac:dyDescent="0.3">
      <c r="C7224" s="1"/>
      <c r="D7224" s="1"/>
    </row>
    <row r="7235" spans="3:4" x14ac:dyDescent="0.3">
      <c r="C7235" s="1"/>
      <c r="D7235" s="1"/>
    </row>
    <row r="7236" spans="3:4" x14ac:dyDescent="0.3">
      <c r="C7236" s="1"/>
      <c r="D7236" s="1"/>
    </row>
    <row r="7237" spans="3:4" x14ac:dyDescent="0.3">
      <c r="C7237" s="1"/>
      <c r="D7237" s="1"/>
    </row>
    <row r="7238" spans="3:4" x14ac:dyDescent="0.3">
      <c r="C7238" s="1"/>
      <c r="D7238" s="1"/>
    </row>
    <row r="7239" spans="3:4" x14ac:dyDescent="0.3">
      <c r="C7239" s="1"/>
      <c r="D7239" s="1"/>
    </row>
    <row r="7247" spans="3:4" x14ac:dyDescent="0.3">
      <c r="C7247" s="1"/>
    </row>
    <row r="7248" spans="3:4" x14ac:dyDescent="0.3">
      <c r="C7248" s="1"/>
      <c r="D7248" s="1"/>
    </row>
    <row r="7249" spans="3:4" x14ac:dyDescent="0.3">
      <c r="C7249" s="1"/>
      <c r="D7249" s="1"/>
    </row>
    <row r="7250" spans="3:4" x14ac:dyDescent="0.3">
      <c r="C7250" s="1"/>
      <c r="D7250" s="1"/>
    </row>
    <row r="7251" spans="3:4" x14ac:dyDescent="0.3">
      <c r="C7251" s="1"/>
      <c r="D7251" s="1"/>
    </row>
    <row r="7252" spans="3:4" x14ac:dyDescent="0.3">
      <c r="C7252" s="1"/>
      <c r="D7252" s="1"/>
    </row>
    <row r="7253" spans="3:4" x14ac:dyDescent="0.3">
      <c r="D7253" s="1"/>
    </row>
    <row r="7254" spans="3:4" x14ac:dyDescent="0.3">
      <c r="C7254" s="1"/>
    </row>
    <row r="7255" spans="3:4" x14ac:dyDescent="0.3">
      <c r="D7255" s="1"/>
    </row>
    <row r="7256" spans="3:4" x14ac:dyDescent="0.3">
      <c r="D7256" s="1"/>
    </row>
    <row r="7257" spans="3:4" x14ac:dyDescent="0.3">
      <c r="D7257" s="1"/>
    </row>
    <row r="7258" spans="3:4" x14ac:dyDescent="0.3">
      <c r="D7258" s="1"/>
    </row>
    <row r="7259" spans="3:4" x14ac:dyDescent="0.3">
      <c r="D7259" s="1"/>
    </row>
    <row r="7260" spans="3:4" x14ac:dyDescent="0.3">
      <c r="D7260" s="1"/>
    </row>
    <row r="7261" spans="3:4" x14ac:dyDescent="0.3">
      <c r="D7261" s="1"/>
    </row>
    <row r="7262" spans="3:4" x14ac:dyDescent="0.3">
      <c r="D7262" s="1"/>
    </row>
    <row r="7263" spans="3:4" x14ac:dyDescent="0.3">
      <c r="C7263" s="1"/>
    </row>
    <row r="7274" spans="3:4" x14ac:dyDescent="0.3">
      <c r="C7274" s="1"/>
    </row>
    <row r="7275" spans="3:4" x14ac:dyDescent="0.3">
      <c r="C7275" s="1"/>
    </row>
    <row r="7278" spans="3:4" x14ac:dyDescent="0.3">
      <c r="C7278" s="1"/>
      <c r="D7278" s="1"/>
    </row>
    <row r="7285" spans="3:4" x14ac:dyDescent="0.3">
      <c r="C7285" s="1"/>
    </row>
    <row r="7286" spans="3:4" x14ac:dyDescent="0.3">
      <c r="C7286" s="1"/>
    </row>
    <row r="7290" spans="3:4" x14ac:dyDescent="0.3">
      <c r="C7290" s="1"/>
      <c r="D7290" s="1"/>
    </row>
    <row r="7294" spans="3:4" x14ac:dyDescent="0.3">
      <c r="C7294" s="1"/>
      <c r="D7294" s="1"/>
    </row>
    <row r="7297" spans="3:4" x14ac:dyDescent="0.3">
      <c r="C7297" s="1"/>
      <c r="D7297" s="1"/>
    </row>
    <row r="7298" spans="3:4" x14ac:dyDescent="0.3">
      <c r="C7298" s="1"/>
      <c r="D7298" s="1"/>
    </row>
    <row r="7299" spans="3:4" x14ac:dyDescent="0.3">
      <c r="C7299" s="1"/>
    </row>
    <row r="7305" spans="3:4" x14ac:dyDescent="0.3">
      <c r="C7305" s="1"/>
      <c r="D7305" s="1"/>
    </row>
    <row r="7306" spans="3:4" x14ac:dyDescent="0.3">
      <c r="C7306" s="1"/>
      <c r="D7306" s="1"/>
    </row>
    <row r="7307" spans="3:4" x14ac:dyDescent="0.3">
      <c r="D7307" s="1"/>
    </row>
    <row r="7308" spans="3:4" x14ac:dyDescent="0.3">
      <c r="C7308" s="1"/>
      <c r="D7308" s="1"/>
    </row>
    <row r="7309" spans="3:4" x14ac:dyDescent="0.3">
      <c r="C7309" s="1"/>
      <c r="D7309" s="1"/>
    </row>
    <row r="7310" spans="3:4" x14ac:dyDescent="0.3">
      <c r="C7310" s="1"/>
      <c r="D7310" s="1"/>
    </row>
    <row r="7311" spans="3:4" x14ac:dyDescent="0.3">
      <c r="C7311" s="1"/>
    </row>
    <row r="7312" spans="3:4" x14ac:dyDescent="0.3">
      <c r="C7312" s="1"/>
    </row>
    <row r="7313" spans="3:4" x14ac:dyDescent="0.3">
      <c r="C7313" s="1"/>
    </row>
    <row r="7314" spans="3:4" x14ac:dyDescent="0.3">
      <c r="C7314" s="1"/>
    </row>
    <row r="7315" spans="3:4" x14ac:dyDescent="0.3">
      <c r="C7315" s="1"/>
    </row>
    <row r="7316" spans="3:4" x14ac:dyDescent="0.3">
      <c r="D7316" s="1"/>
    </row>
    <row r="7317" spans="3:4" x14ac:dyDescent="0.3">
      <c r="C7317" s="1"/>
    </row>
    <row r="7323" spans="3:4" x14ac:dyDescent="0.3">
      <c r="C7323" s="1"/>
      <c r="D7323" s="1"/>
    </row>
    <row r="7324" spans="3:4" x14ac:dyDescent="0.3">
      <c r="C7324" s="1"/>
      <c r="D7324" s="1"/>
    </row>
    <row r="7325" spans="3:4" x14ac:dyDescent="0.3">
      <c r="C7325" s="1"/>
      <c r="D7325" s="1"/>
    </row>
    <row r="7326" spans="3:4" x14ac:dyDescent="0.3">
      <c r="C7326" s="1"/>
      <c r="D7326" s="1"/>
    </row>
    <row r="7327" spans="3:4" x14ac:dyDescent="0.3">
      <c r="C7327" s="1"/>
    </row>
    <row r="7328" spans="3:4" x14ac:dyDescent="0.3">
      <c r="C7328" s="1"/>
    </row>
    <row r="7332" spans="3:4" x14ac:dyDescent="0.3">
      <c r="C7332" s="1"/>
    </row>
    <row r="7335" spans="3:4" x14ac:dyDescent="0.3">
      <c r="C7335" s="1"/>
    </row>
    <row r="7336" spans="3:4" x14ac:dyDescent="0.3">
      <c r="C7336" s="1"/>
    </row>
    <row r="7342" spans="3:4" x14ac:dyDescent="0.3">
      <c r="D7342" s="1"/>
    </row>
    <row r="7343" spans="3:4" x14ac:dyDescent="0.3">
      <c r="D7343" s="1"/>
    </row>
    <row r="7344" spans="3:4" x14ac:dyDescent="0.3">
      <c r="D7344" s="1"/>
    </row>
    <row r="7345" spans="3:4" x14ac:dyDescent="0.3">
      <c r="D7345" s="1"/>
    </row>
    <row r="7346" spans="3:4" x14ac:dyDescent="0.3">
      <c r="C7346" s="1"/>
    </row>
    <row r="7347" spans="3:4" x14ac:dyDescent="0.3">
      <c r="C7347" s="1"/>
    </row>
    <row r="7348" spans="3:4" x14ac:dyDescent="0.3">
      <c r="C7348" s="1"/>
    </row>
    <row r="7349" spans="3:4" x14ac:dyDescent="0.3">
      <c r="C7349" s="1"/>
    </row>
    <row r="7350" spans="3:4" x14ac:dyDescent="0.3">
      <c r="C7350" s="1"/>
      <c r="D7350" s="1"/>
    </row>
    <row r="7353" spans="3:4" x14ac:dyDescent="0.3">
      <c r="C7353" s="1"/>
    </row>
    <row r="7356" spans="3:4" x14ac:dyDescent="0.3">
      <c r="C7356" s="1"/>
    </row>
    <row r="7357" spans="3:4" x14ac:dyDescent="0.3">
      <c r="D7357" s="1"/>
    </row>
    <row r="7358" spans="3:4" x14ac:dyDescent="0.3">
      <c r="C7358" s="1"/>
    </row>
    <row r="7359" spans="3:4" x14ac:dyDescent="0.3">
      <c r="C7359" s="1"/>
    </row>
    <row r="7360" spans="3:4" x14ac:dyDescent="0.3">
      <c r="D7360" s="1"/>
    </row>
    <row r="7361" spans="3:4" x14ac:dyDescent="0.3">
      <c r="D7361" s="1"/>
    </row>
    <row r="7362" spans="3:4" x14ac:dyDescent="0.3">
      <c r="C7362" s="1"/>
    </row>
    <row r="7363" spans="3:4" x14ac:dyDescent="0.3">
      <c r="C7363" s="1"/>
    </row>
    <row r="7364" spans="3:4" x14ac:dyDescent="0.3">
      <c r="C7364" s="1"/>
    </row>
    <row r="7365" spans="3:4" x14ac:dyDescent="0.3">
      <c r="D7365" s="1"/>
    </row>
    <row r="7366" spans="3:4" x14ac:dyDescent="0.3">
      <c r="D7366" s="1"/>
    </row>
    <row r="7367" spans="3:4" x14ac:dyDescent="0.3">
      <c r="D7367" s="1"/>
    </row>
    <row r="7368" spans="3:4" x14ac:dyDescent="0.3">
      <c r="D7368" s="1"/>
    </row>
    <row r="7369" spans="3:4" x14ac:dyDescent="0.3">
      <c r="D7369" s="1"/>
    </row>
    <row r="7371" spans="3:4" x14ac:dyDescent="0.3">
      <c r="C7371" s="1"/>
      <c r="D7371" s="1"/>
    </row>
    <row r="7372" spans="3:4" x14ac:dyDescent="0.3">
      <c r="D7372" s="1"/>
    </row>
    <row r="7373" spans="3:4" x14ac:dyDescent="0.3">
      <c r="C7373" s="1"/>
      <c r="D7373" s="1"/>
    </row>
    <row r="7374" spans="3:4" x14ac:dyDescent="0.3">
      <c r="C7374" s="1"/>
      <c r="D7374" s="1"/>
    </row>
    <row r="7375" spans="3:4" x14ac:dyDescent="0.3">
      <c r="C7375" s="1"/>
      <c r="D7375" s="1"/>
    </row>
    <row r="7376" spans="3:4" x14ac:dyDescent="0.3">
      <c r="C7376" s="1"/>
      <c r="D7376" s="1"/>
    </row>
    <row r="7378" spans="3:4" x14ac:dyDescent="0.3">
      <c r="C7378" s="1"/>
      <c r="D7378" s="1"/>
    </row>
    <row r="7391" spans="3:4" x14ac:dyDescent="0.3">
      <c r="D7391" s="1"/>
    </row>
    <row r="7392" spans="3:4" x14ac:dyDescent="0.3">
      <c r="D7392" s="1"/>
    </row>
    <row r="7393" spans="3:4" x14ac:dyDescent="0.3">
      <c r="C7393" s="1"/>
      <c r="D7393" s="1"/>
    </row>
    <row r="7394" spans="3:4" x14ac:dyDescent="0.3">
      <c r="C7394" s="1"/>
      <c r="D7394" s="1"/>
    </row>
    <row r="7395" spans="3:4" x14ac:dyDescent="0.3">
      <c r="C7395" s="1"/>
      <c r="D7395" s="1"/>
    </row>
    <row r="7396" spans="3:4" x14ac:dyDescent="0.3">
      <c r="C7396" s="1"/>
      <c r="D7396" s="1"/>
    </row>
    <row r="7400" spans="3:4" x14ac:dyDescent="0.3">
      <c r="C7400" s="1"/>
    </row>
    <row r="7401" spans="3:4" x14ac:dyDescent="0.3">
      <c r="C7401" s="1"/>
    </row>
    <row r="7402" spans="3:4" x14ac:dyDescent="0.3">
      <c r="C7402" s="1"/>
    </row>
    <row r="7403" spans="3:4" x14ac:dyDescent="0.3">
      <c r="C7403" s="1"/>
    </row>
    <row r="7404" spans="3:4" x14ac:dyDescent="0.3">
      <c r="C7404" s="1"/>
      <c r="D7404" s="1"/>
    </row>
    <row r="7410" spans="3:4" x14ac:dyDescent="0.3">
      <c r="D7410" s="1"/>
    </row>
    <row r="7411" spans="3:4" x14ac:dyDescent="0.3">
      <c r="C7411" s="1"/>
      <c r="D7411" s="1"/>
    </row>
    <row r="7413" spans="3:4" x14ac:dyDescent="0.3">
      <c r="D7413" s="1"/>
    </row>
    <row r="7414" spans="3:4" x14ac:dyDescent="0.3">
      <c r="D7414" s="1"/>
    </row>
    <row r="7415" spans="3:4" x14ac:dyDescent="0.3">
      <c r="D7415" s="1"/>
    </row>
    <row r="7425" spans="3:3" x14ac:dyDescent="0.3">
      <c r="C7425" s="1"/>
    </row>
    <row r="7426" spans="3:3" x14ac:dyDescent="0.3">
      <c r="C7426" s="1"/>
    </row>
    <row r="7434" spans="3:3" x14ac:dyDescent="0.3">
      <c r="C7434" s="1"/>
    </row>
    <row r="7435" spans="3:3" x14ac:dyDescent="0.3">
      <c r="C7435" s="1"/>
    </row>
    <row r="7441" spans="3:4" x14ac:dyDescent="0.3">
      <c r="C7441" s="1"/>
      <c r="D7441" s="1"/>
    </row>
    <row r="7442" spans="3:4" x14ac:dyDescent="0.3">
      <c r="C7442" s="1"/>
      <c r="D7442" s="1"/>
    </row>
    <row r="7444" spans="3:4" x14ac:dyDescent="0.3">
      <c r="C7444" s="1"/>
      <c r="D7444" s="1"/>
    </row>
    <row r="7445" spans="3:4" x14ac:dyDescent="0.3">
      <c r="C7445" s="1"/>
      <c r="D7445" s="1"/>
    </row>
    <row r="7446" spans="3:4" x14ac:dyDescent="0.3">
      <c r="C7446" s="1"/>
      <c r="D7446" s="1"/>
    </row>
    <row r="7447" spans="3:4" x14ac:dyDescent="0.3">
      <c r="C7447" s="1"/>
      <c r="D7447" s="1"/>
    </row>
    <row r="7448" spans="3:4" x14ac:dyDescent="0.3">
      <c r="C7448" s="1"/>
      <c r="D7448" s="1"/>
    </row>
    <row r="7449" spans="3:4" x14ac:dyDescent="0.3">
      <c r="C7449" s="1"/>
      <c r="D7449" s="1"/>
    </row>
    <row r="7450" spans="3:4" x14ac:dyDescent="0.3">
      <c r="C7450" s="1"/>
    </row>
    <row r="7455" spans="3:4" x14ac:dyDescent="0.3">
      <c r="D7455" s="1"/>
    </row>
    <row r="7456" spans="3:4" x14ac:dyDescent="0.3">
      <c r="D7456" s="1"/>
    </row>
    <row r="7457" spans="3:4" x14ac:dyDescent="0.3">
      <c r="D7457" s="1"/>
    </row>
    <row r="7462" spans="3:4" x14ac:dyDescent="0.3">
      <c r="C7462" s="1"/>
    </row>
    <row r="7463" spans="3:4" x14ac:dyDescent="0.3">
      <c r="C7463" s="1"/>
    </row>
    <row r="7464" spans="3:4" x14ac:dyDescent="0.3">
      <c r="D7464" s="1"/>
    </row>
    <row r="7465" spans="3:4" x14ac:dyDescent="0.3">
      <c r="C7465" s="1"/>
    </row>
    <row r="7466" spans="3:4" x14ac:dyDescent="0.3">
      <c r="C7466" s="1"/>
    </row>
    <row r="7467" spans="3:4" x14ac:dyDescent="0.3">
      <c r="C7467" s="1"/>
    </row>
    <row r="7469" spans="3:4" x14ac:dyDescent="0.3">
      <c r="C7469" s="1"/>
    </row>
    <row r="7474" spans="3:4" x14ac:dyDescent="0.3">
      <c r="C7474" s="1"/>
      <c r="D7474" s="1"/>
    </row>
    <row r="7475" spans="3:4" x14ac:dyDescent="0.3">
      <c r="C7475" s="1"/>
    </row>
    <row r="7476" spans="3:4" x14ac:dyDescent="0.3">
      <c r="C7476" s="1"/>
      <c r="D7476" s="1"/>
    </row>
    <row r="7477" spans="3:4" x14ac:dyDescent="0.3">
      <c r="C7477" s="1"/>
      <c r="D7477" s="1"/>
    </row>
    <row r="7478" spans="3:4" x14ac:dyDescent="0.3">
      <c r="C7478" s="1"/>
      <c r="D7478" s="1"/>
    </row>
    <row r="7479" spans="3:4" x14ac:dyDescent="0.3">
      <c r="C7479" s="1"/>
      <c r="D7479" s="1"/>
    </row>
    <row r="7480" spans="3:4" x14ac:dyDescent="0.3">
      <c r="C7480" s="1"/>
      <c r="D7480" s="1"/>
    </row>
    <row r="7481" spans="3:4" x14ac:dyDescent="0.3">
      <c r="C7481" s="1"/>
      <c r="D7481" s="1"/>
    </row>
    <row r="7482" spans="3:4" x14ac:dyDescent="0.3">
      <c r="C7482" s="1"/>
      <c r="D7482" s="1"/>
    </row>
    <row r="7483" spans="3:4" x14ac:dyDescent="0.3">
      <c r="C7483" s="1"/>
      <c r="D7483" s="1"/>
    </row>
    <row r="7486" spans="3:4" x14ac:dyDescent="0.3">
      <c r="D7486" s="1"/>
    </row>
    <row r="7487" spans="3:4" x14ac:dyDescent="0.3">
      <c r="D7487" s="1"/>
    </row>
    <row r="7491" spans="3:4" x14ac:dyDescent="0.3">
      <c r="C7491" s="1"/>
      <c r="D7491" s="1"/>
    </row>
    <row r="7492" spans="3:4" x14ac:dyDescent="0.3">
      <c r="C7492" s="1"/>
    </row>
    <row r="7494" spans="3:4" x14ac:dyDescent="0.3">
      <c r="C7494" s="1"/>
    </row>
    <row r="7495" spans="3:4" x14ac:dyDescent="0.3">
      <c r="C7495" s="1"/>
    </row>
    <row r="7496" spans="3:4" x14ac:dyDescent="0.3">
      <c r="C7496" s="1"/>
    </row>
    <row r="7506" spans="3:4" x14ac:dyDescent="0.3">
      <c r="D7506" s="1"/>
    </row>
    <row r="7507" spans="3:4" x14ac:dyDescent="0.3">
      <c r="C7507" s="1"/>
    </row>
    <row r="7508" spans="3:4" x14ac:dyDescent="0.3">
      <c r="C7508" s="1"/>
      <c r="D7508" s="1"/>
    </row>
    <row r="7509" spans="3:4" x14ac:dyDescent="0.3">
      <c r="C7509" s="1"/>
      <c r="D7509" s="1"/>
    </row>
    <row r="7516" spans="3:4" x14ac:dyDescent="0.3">
      <c r="C7516" s="1"/>
      <c r="D7516" s="1"/>
    </row>
    <row r="7517" spans="3:4" x14ac:dyDescent="0.3">
      <c r="C7517" s="1"/>
      <c r="D7517" s="1"/>
    </row>
    <row r="7518" spans="3:4" x14ac:dyDescent="0.3">
      <c r="C7518" s="1"/>
      <c r="D7518" s="1"/>
    </row>
    <row r="7519" spans="3:4" x14ac:dyDescent="0.3">
      <c r="C7519" s="1"/>
      <c r="D7519" s="1"/>
    </row>
    <row r="7520" spans="3:4" x14ac:dyDescent="0.3">
      <c r="C7520" s="1"/>
      <c r="D7520" s="1"/>
    </row>
    <row r="7521" spans="3:4" x14ac:dyDescent="0.3">
      <c r="C7521" s="1"/>
      <c r="D7521" s="1"/>
    </row>
    <row r="7522" spans="3:4" x14ac:dyDescent="0.3">
      <c r="C7522" s="1"/>
      <c r="D7522" s="1"/>
    </row>
    <row r="7523" spans="3:4" x14ac:dyDescent="0.3">
      <c r="C7523" s="1"/>
      <c r="D7523" s="1"/>
    </row>
    <row r="7524" spans="3:4" x14ac:dyDescent="0.3">
      <c r="C7524" s="1"/>
      <c r="D7524" s="1"/>
    </row>
    <row r="7525" spans="3:4" x14ac:dyDescent="0.3">
      <c r="C7525" s="1"/>
      <c r="D7525" s="1"/>
    </row>
    <row r="7526" spans="3:4" x14ac:dyDescent="0.3">
      <c r="C7526" s="1"/>
    </row>
    <row r="7527" spans="3:4" x14ac:dyDescent="0.3">
      <c r="C7527" s="1"/>
    </row>
    <row r="7535" spans="3:4" x14ac:dyDescent="0.3">
      <c r="D7535" s="1"/>
    </row>
    <row r="7536" spans="3:4" x14ac:dyDescent="0.3">
      <c r="D7536" s="1"/>
    </row>
    <row r="7537" spans="3:4" x14ac:dyDescent="0.3">
      <c r="D7537" s="1"/>
    </row>
    <row r="7538" spans="3:4" x14ac:dyDescent="0.3">
      <c r="C7538" s="1"/>
      <c r="D7538" s="1"/>
    </row>
    <row r="7540" spans="3:4" x14ac:dyDescent="0.3">
      <c r="C7540" s="1"/>
      <c r="D7540" s="1"/>
    </row>
    <row r="7541" spans="3:4" x14ac:dyDescent="0.3">
      <c r="C7541" s="1"/>
      <c r="D7541" s="1"/>
    </row>
    <row r="7542" spans="3:4" x14ac:dyDescent="0.3">
      <c r="C7542" s="1"/>
      <c r="D7542" s="1"/>
    </row>
    <row r="7543" spans="3:4" x14ac:dyDescent="0.3">
      <c r="C7543" s="1"/>
      <c r="D7543" s="1"/>
    </row>
    <row r="7544" spans="3:4" x14ac:dyDescent="0.3">
      <c r="C7544" s="1"/>
      <c r="D7544" s="1"/>
    </row>
    <row r="7545" spans="3:4" x14ac:dyDescent="0.3">
      <c r="C7545" s="1"/>
      <c r="D7545" s="1"/>
    </row>
    <row r="7546" spans="3:4" x14ac:dyDescent="0.3">
      <c r="C7546" s="1"/>
      <c r="D7546" s="1"/>
    </row>
    <row r="7547" spans="3:4" x14ac:dyDescent="0.3">
      <c r="C7547" s="1"/>
    </row>
    <row r="7548" spans="3:4" x14ac:dyDescent="0.3">
      <c r="C7548" s="1"/>
    </row>
    <row r="7549" spans="3:4" x14ac:dyDescent="0.3">
      <c r="C7549" s="1"/>
    </row>
    <row r="7550" spans="3:4" x14ac:dyDescent="0.3">
      <c r="C7550" s="1"/>
    </row>
    <row r="7551" spans="3:4" x14ac:dyDescent="0.3">
      <c r="C7551" s="1"/>
      <c r="D7551" s="1"/>
    </row>
    <row r="7556" spans="3:4" x14ac:dyDescent="0.3">
      <c r="C7556" s="1"/>
    </row>
    <row r="7557" spans="3:4" x14ac:dyDescent="0.3">
      <c r="C7557" s="1"/>
    </row>
    <row r="7558" spans="3:4" x14ac:dyDescent="0.3">
      <c r="D7558" s="1"/>
    </row>
    <row r="7559" spans="3:4" x14ac:dyDescent="0.3">
      <c r="D7559" s="1"/>
    </row>
    <row r="7560" spans="3:4" x14ac:dyDescent="0.3">
      <c r="C7560" s="1"/>
      <c r="D7560" s="1"/>
    </row>
    <row r="7561" spans="3:4" x14ac:dyDescent="0.3">
      <c r="C7561" s="1"/>
      <c r="D7561" s="1"/>
    </row>
    <row r="7562" spans="3:4" x14ac:dyDescent="0.3">
      <c r="C7562" s="1"/>
      <c r="D7562" s="1"/>
    </row>
    <row r="7563" spans="3:4" x14ac:dyDescent="0.3">
      <c r="D7563" s="1"/>
    </row>
    <row r="7564" spans="3:4" x14ac:dyDescent="0.3">
      <c r="C7564" s="1"/>
      <c r="D7564" s="1"/>
    </row>
    <row r="7565" spans="3:4" x14ac:dyDescent="0.3">
      <c r="C7565" s="1"/>
      <c r="D7565" s="1"/>
    </row>
    <row r="7566" spans="3:4" x14ac:dyDescent="0.3">
      <c r="D7566" s="1"/>
    </row>
    <row r="7567" spans="3:4" x14ac:dyDescent="0.3">
      <c r="D7567" s="1"/>
    </row>
    <row r="7570" spans="3:4" x14ac:dyDescent="0.3">
      <c r="C7570" s="1"/>
      <c r="D7570" s="1"/>
    </row>
    <row r="7571" spans="3:4" x14ac:dyDescent="0.3">
      <c r="C7571" s="1"/>
      <c r="D7571" s="1"/>
    </row>
    <row r="7572" spans="3:4" x14ac:dyDescent="0.3">
      <c r="C7572" s="1"/>
      <c r="D7572" s="1"/>
    </row>
    <row r="7576" spans="3:4" x14ac:dyDescent="0.3">
      <c r="C7576" s="1"/>
      <c r="D7576" s="1"/>
    </row>
    <row r="7577" spans="3:4" x14ac:dyDescent="0.3">
      <c r="C7577" s="1"/>
      <c r="D7577" s="1"/>
    </row>
    <row r="7578" spans="3:4" x14ac:dyDescent="0.3">
      <c r="C7578" s="1"/>
      <c r="D7578" s="1"/>
    </row>
    <row r="7579" spans="3:4" x14ac:dyDescent="0.3">
      <c r="C7579" s="1"/>
      <c r="D7579" s="1"/>
    </row>
    <row r="7592" spans="3:4" x14ac:dyDescent="0.3">
      <c r="C7592" s="1"/>
      <c r="D7592" s="1"/>
    </row>
    <row r="7593" spans="3:4" x14ac:dyDescent="0.3">
      <c r="C7593" s="1"/>
      <c r="D7593" s="1"/>
    </row>
    <row r="7594" spans="3:4" x14ac:dyDescent="0.3">
      <c r="C7594" s="1"/>
      <c r="D7594" s="1"/>
    </row>
    <row r="7595" spans="3:4" x14ac:dyDescent="0.3">
      <c r="C7595" s="1"/>
      <c r="D7595" s="1"/>
    </row>
    <row r="7605" spans="3:4" x14ac:dyDescent="0.3">
      <c r="C7605" s="1"/>
      <c r="D7605" s="1"/>
    </row>
    <row r="7610" spans="3:4" x14ac:dyDescent="0.3">
      <c r="C7610" s="1"/>
      <c r="D7610" s="1"/>
    </row>
    <row r="7611" spans="3:4" x14ac:dyDescent="0.3">
      <c r="C7611" s="1"/>
      <c r="D7611" s="1"/>
    </row>
    <row r="7613" spans="3:4" x14ac:dyDescent="0.3">
      <c r="C7613" s="1"/>
      <c r="D7613" s="1"/>
    </row>
    <row r="7614" spans="3:4" x14ac:dyDescent="0.3">
      <c r="C7614" s="1"/>
      <c r="D7614" s="1"/>
    </row>
    <row r="7615" spans="3:4" x14ac:dyDescent="0.3">
      <c r="C7615" s="1"/>
      <c r="D7615" s="1"/>
    </row>
    <row r="7617" spans="3:4" x14ac:dyDescent="0.3">
      <c r="D7617" s="1"/>
    </row>
    <row r="7618" spans="3:4" x14ac:dyDescent="0.3">
      <c r="C7618" s="1"/>
    </row>
    <row r="7619" spans="3:4" x14ac:dyDescent="0.3">
      <c r="C7619" s="1"/>
    </row>
    <row r="7631" spans="3:4" x14ac:dyDescent="0.3">
      <c r="D7631" s="1"/>
    </row>
    <row r="7632" spans="3:4" x14ac:dyDescent="0.3">
      <c r="D7632" s="1"/>
    </row>
    <row r="7633" spans="3:4" x14ac:dyDescent="0.3">
      <c r="D7633" s="1"/>
    </row>
    <row r="7634" spans="3:4" x14ac:dyDescent="0.3">
      <c r="D7634" s="1"/>
    </row>
    <row r="7635" spans="3:4" x14ac:dyDescent="0.3">
      <c r="D7635" s="1"/>
    </row>
    <row r="7636" spans="3:4" x14ac:dyDescent="0.3">
      <c r="D7636" s="1"/>
    </row>
    <row r="7637" spans="3:4" x14ac:dyDescent="0.3">
      <c r="D7637" s="1"/>
    </row>
    <row r="7638" spans="3:4" x14ac:dyDescent="0.3">
      <c r="D7638" s="1"/>
    </row>
    <row r="7639" spans="3:4" x14ac:dyDescent="0.3">
      <c r="C7639" s="1"/>
      <c r="D7639" s="1"/>
    </row>
    <row r="7640" spans="3:4" x14ac:dyDescent="0.3">
      <c r="C7640" s="1"/>
      <c r="D7640" s="1"/>
    </row>
    <row r="7641" spans="3:4" x14ac:dyDescent="0.3">
      <c r="C7641" s="1"/>
      <c r="D7641" s="1"/>
    </row>
    <row r="7642" spans="3:4" x14ac:dyDescent="0.3">
      <c r="C7642" s="1"/>
      <c r="D7642" s="1"/>
    </row>
    <row r="7643" spans="3:4" x14ac:dyDescent="0.3">
      <c r="C7643" s="1"/>
      <c r="D7643" s="1"/>
    </row>
    <row r="7644" spans="3:4" x14ac:dyDescent="0.3">
      <c r="C7644" s="1"/>
      <c r="D7644" s="1"/>
    </row>
    <row r="7645" spans="3:4" x14ac:dyDescent="0.3">
      <c r="C7645" s="1"/>
      <c r="D7645" s="1"/>
    </row>
    <row r="7646" spans="3:4" x14ac:dyDescent="0.3">
      <c r="C7646" s="1"/>
      <c r="D7646" s="1"/>
    </row>
    <row r="7647" spans="3:4" x14ac:dyDescent="0.3">
      <c r="C7647" s="1"/>
      <c r="D7647" s="1"/>
    </row>
    <row r="7648" spans="3:4" x14ac:dyDescent="0.3">
      <c r="C7648" s="1"/>
    </row>
    <row r="7653" spans="3:4" x14ac:dyDescent="0.3">
      <c r="C7653" s="1"/>
      <c r="D7653" s="1"/>
    </row>
    <row r="7654" spans="3:4" x14ac:dyDescent="0.3">
      <c r="C7654" s="1"/>
      <c r="D7654" s="1"/>
    </row>
    <row r="7656" spans="3:4" x14ac:dyDescent="0.3">
      <c r="D7656" s="1"/>
    </row>
    <row r="7657" spans="3:4" x14ac:dyDescent="0.3">
      <c r="D7657" s="1"/>
    </row>
    <row r="7660" spans="3:4" x14ac:dyDescent="0.3">
      <c r="D7660" s="1"/>
    </row>
    <row r="7661" spans="3:4" x14ac:dyDescent="0.3">
      <c r="C7661" s="1"/>
      <c r="D7661" s="1"/>
    </row>
    <row r="7662" spans="3:4" x14ac:dyDescent="0.3">
      <c r="C7662" s="1"/>
      <c r="D7662" s="1"/>
    </row>
    <row r="7663" spans="3:4" x14ac:dyDescent="0.3">
      <c r="C7663" s="1"/>
      <c r="D7663" s="1"/>
    </row>
    <row r="7664" spans="3:4" x14ac:dyDescent="0.3">
      <c r="D7664" s="1"/>
    </row>
    <row r="7667" spans="3:4" x14ac:dyDescent="0.3">
      <c r="C7667" s="1"/>
      <c r="D7667" s="1"/>
    </row>
    <row r="7668" spans="3:4" x14ac:dyDescent="0.3">
      <c r="C7668" s="1"/>
      <c r="D7668" s="1"/>
    </row>
    <row r="7669" spans="3:4" x14ac:dyDescent="0.3">
      <c r="C7669" s="1"/>
      <c r="D7669" s="1"/>
    </row>
    <row r="7677" spans="3:4" x14ac:dyDescent="0.3">
      <c r="C7677" s="1"/>
      <c r="D7677" s="1"/>
    </row>
    <row r="7678" spans="3:4" x14ac:dyDescent="0.3">
      <c r="C7678" s="1"/>
      <c r="D7678" s="1"/>
    </row>
    <row r="7679" spans="3:4" x14ac:dyDescent="0.3">
      <c r="D7679" s="1"/>
    </row>
    <row r="7680" spans="3:4" x14ac:dyDescent="0.3">
      <c r="D7680" s="1"/>
    </row>
    <row r="7681" spans="4:4" x14ac:dyDescent="0.3">
      <c r="D7681" s="1"/>
    </row>
    <row r="7682" spans="4:4" x14ac:dyDescent="0.3">
      <c r="D7682" s="1"/>
    </row>
    <row r="7683" spans="4:4" x14ac:dyDescent="0.3">
      <c r="D7683" s="1"/>
    </row>
    <row r="7684" spans="4:4" x14ac:dyDescent="0.3">
      <c r="D7684" s="1"/>
    </row>
    <row r="7685" spans="4:4" x14ac:dyDescent="0.3">
      <c r="D7685" s="1"/>
    </row>
    <row r="7694" spans="4:4" x14ac:dyDescent="0.3">
      <c r="D7694" s="1"/>
    </row>
    <row r="7695" spans="4:4" x14ac:dyDescent="0.3">
      <c r="D7695" s="1"/>
    </row>
    <row r="7697" spans="3:4" x14ac:dyDescent="0.3">
      <c r="C7697" s="1"/>
      <c r="D7697" s="1"/>
    </row>
    <row r="7698" spans="3:4" x14ac:dyDescent="0.3">
      <c r="C7698" s="1"/>
      <c r="D7698" s="1"/>
    </row>
    <row r="7704" spans="3:4" x14ac:dyDescent="0.3">
      <c r="D7704" s="1"/>
    </row>
    <row r="7705" spans="3:4" x14ac:dyDescent="0.3">
      <c r="D7705" s="1"/>
    </row>
    <row r="7706" spans="3:4" x14ac:dyDescent="0.3">
      <c r="D7706" s="1"/>
    </row>
    <row r="7707" spans="3:4" x14ac:dyDescent="0.3">
      <c r="D7707" s="1"/>
    </row>
    <row r="7708" spans="3:4" x14ac:dyDescent="0.3">
      <c r="D7708" s="1"/>
    </row>
    <row r="7712" spans="3:4" x14ac:dyDescent="0.3">
      <c r="C7712" s="1"/>
      <c r="D7712" s="1"/>
    </row>
    <row r="7716" spans="3:4" x14ac:dyDescent="0.3">
      <c r="C7716" s="1"/>
      <c r="D7716" s="1"/>
    </row>
    <row r="7717" spans="3:4" x14ac:dyDescent="0.3">
      <c r="C7717" s="1"/>
      <c r="D7717" s="1"/>
    </row>
    <row r="7718" spans="3:4" x14ac:dyDescent="0.3">
      <c r="C7718" s="1"/>
      <c r="D7718" s="1"/>
    </row>
    <row r="7719" spans="3:4" x14ac:dyDescent="0.3">
      <c r="C7719" s="1"/>
      <c r="D7719" s="1"/>
    </row>
    <row r="7720" spans="3:4" x14ac:dyDescent="0.3">
      <c r="C7720" s="1"/>
    </row>
    <row r="7721" spans="3:4" x14ac:dyDescent="0.3">
      <c r="C7721" s="1"/>
      <c r="D7721" s="1"/>
    </row>
    <row r="7722" spans="3:4" x14ac:dyDescent="0.3">
      <c r="C7722" s="1"/>
      <c r="D7722" s="1"/>
    </row>
    <row r="7723" spans="3:4" x14ac:dyDescent="0.3">
      <c r="C7723" s="1"/>
      <c r="D7723" s="1"/>
    </row>
    <row r="7725" spans="3:4" x14ac:dyDescent="0.3">
      <c r="C7725" s="1"/>
    </row>
    <row r="7730" spans="3:4" x14ac:dyDescent="0.3">
      <c r="D7730" s="1"/>
    </row>
    <row r="7731" spans="3:4" x14ac:dyDescent="0.3">
      <c r="D7731" s="1"/>
    </row>
    <row r="7734" spans="3:4" x14ac:dyDescent="0.3">
      <c r="C7734" s="1"/>
      <c r="D7734" s="1"/>
    </row>
    <row r="7738" spans="3:4" x14ac:dyDescent="0.3">
      <c r="D7738" s="1"/>
    </row>
    <row r="7740" spans="3:4" x14ac:dyDescent="0.3">
      <c r="D7740" s="1"/>
    </row>
    <row r="7749" spans="4:4" x14ac:dyDescent="0.3">
      <c r="D7749" s="1"/>
    </row>
    <row r="7755" spans="4:4" x14ac:dyDescent="0.3">
      <c r="D7755" s="1"/>
    </row>
    <row r="7762" spans="3:4" x14ac:dyDescent="0.3">
      <c r="C7762" s="1"/>
      <c r="D7762" s="1"/>
    </row>
    <row r="7763" spans="3:4" x14ac:dyDescent="0.3">
      <c r="C7763" s="1"/>
      <c r="D7763" s="1"/>
    </row>
    <row r="7765" spans="3:4" x14ac:dyDescent="0.3">
      <c r="C7765" s="1"/>
      <c r="D7765" s="1"/>
    </row>
    <row r="7766" spans="3:4" x14ac:dyDescent="0.3">
      <c r="C7766" s="1"/>
      <c r="D7766" s="1"/>
    </row>
    <row r="7767" spans="3:4" x14ac:dyDescent="0.3">
      <c r="C7767" s="1"/>
      <c r="D7767" s="1"/>
    </row>
    <row r="7768" spans="3:4" x14ac:dyDescent="0.3">
      <c r="C7768" s="1"/>
      <c r="D7768" s="1"/>
    </row>
    <row r="7770" spans="3:4" x14ac:dyDescent="0.3">
      <c r="C7770" s="1"/>
    </row>
    <row r="7771" spans="3:4" x14ac:dyDescent="0.3">
      <c r="C7771" s="1"/>
      <c r="D7771" s="1"/>
    </row>
    <row r="7772" spans="3:4" x14ac:dyDescent="0.3">
      <c r="C7772" s="1"/>
      <c r="D7772" s="1"/>
    </row>
    <row r="7773" spans="3:4" x14ac:dyDescent="0.3">
      <c r="D7773" s="1"/>
    </row>
    <row r="7774" spans="3:4" x14ac:dyDescent="0.3">
      <c r="D7774" s="1"/>
    </row>
    <row r="7775" spans="3:4" x14ac:dyDescent="0.3">
      <c r="D7775" s="1"/>
    </row>
    <row r="7783" spans="3:4" x14ac:dyDescent="0.3">
      <c r="C7783" s="1"/>
      <c r="D7783" s="1"/>
    </row>
    <row r="7784" spans="3:4" x14ac:dyDescent="0.3">
      <c r="C7784" s="1"/>
      <c r="D7784" s="1"/>
    </row>
    <row r="7785" spans="3:4" x14ac:dyDescent="0.3">
      <c r="C7785" s="1"/>
      <c r="D7785" s="1"/>
    </row>
    <row r="7786" spans="3:4" x14ac:dyDescent="0.3">
      <c r="C7786" s="1"/>
      <c r="D7786" s="1"/>
    </row>
    <row r="7787" spans="3:4" x14ac:dyDescent="0.3">
      <c r="D7787" s="1"/>
    </row>
    <row r="7794" spans="3:4" x14ac:dyDescent="0.3">
      <c r="C7794" s="1"/>
    </row>
    <row r="7795" spans="3:4" x14ac:dyDescent="0.3">
      <c r="C7795" s="1"/>
    </row>
    <row r="7796" spans="3:4" x14ac:dyDescent="0.3">
      <c r="C7796" s="1"/>
    </row>
    <row r="7797" spans="3:4" x14ac:dyDescent="0.3">
      <c r="C7797" s="1"/>
    </row>
    <row r="7798" spans="3:4" x14ac:dyDescent="0.3">
      <c r="C7798" s="1"/>
      <c r="D7798" s="1"/>
    </row>
    <row r="7802" spans="3:4" x14ac:dyDescent="0.3">
      <c r="C7802" s="1"/>
      <c r="D7802" s="1"/>
    </row>
    <row r="7809" spans="3:4" x14ac:dyDescent="0.3">
      <c r="C7809" s="1"/>
    </row>
    <row r="7810" spans="3:4" x14ac:dyDescent="0.3">
      <c r="C7810" s="1"/>
    </row>
    <row r="7811" spans="3:4" x14ac:dyDescent="0.3">
      <c r="C7811" s="1"/>
    </row>
    <row r="7816" spans="3:4" x14ac:dyDescent="0.3">
      <c r="C7816" s="1"/>
      <c r="D7816" s="1"/>
    </row>
    <row r="7817" spans="3:4" x14ac:dyDescent="0.3">
      <c r="C7817" s="1"/>
      <c r="D7817" s="1"/>
    </row>
    <row r="7822" spans="3:4" x14ac:dyDescent="0.3">
      <c r="C7822" s="1"/>
      <c r="D7822" s="1"/>
    </row>
    <row r="7824" spans="3:4" x14ac:dyDescent="0.3">
      <c r="D7824" s="1"/>
    </row>
    <row r="7825" spans="3:4" x14ac:dyDescent="0.3">
      <c r="D7825" s="1"/>
    </row>
    <row r="7827" spans="3:4" x14ac:dyDescent="0.3">
      <c r="C7827" s="1"/>
      <c r="D7827" s="1"/>
    </row>
    <row r="7828" spans="3:4" x14ac:dyDescent="0.3">
      <c r="D7828" s="1"/>
    </row>
    <row r="7829" spans="3:4" x14ac:dyDescent="0.3">
      <c r="D7829" s="1"/>
    </row>
    <row r="7830" spans="3:4" x14ac:dyDescent="0.3">
      <c r="D7830" s="1"/>
    </row>
    <row r="7831" spans="3:4" x14ac:dyDescent="0.3">
      <c r="D7831" s="1"/>
    </row>
    <row r="7832" spans="3:4" x14ac:dyDescent="0.3">
      <c r="D7832" s="1"/>
    </row>
    <row r="7833" spans="3:4" x14ac:dyDescent="0.3">
      <c r="D7833" s="1"/>
    </row>
    <row r="7834" spans="3:4" x14ac:dyDescent="0.3">
      <c r="C7834" s="1"/>
    </row>
    <row r="7841" spans="3:4" x14ac:dyDescent="0.3">
      <c r="D7841" s="1"/>
    </row>
    <row r="7842" spans="3:4" x14ac:dyDescent="0.3">
      <c r="D7842" s="1"/>
    </row>
    <row r="7847" spans="3:4" x14ac:dyDescent="0.3">
      <c r="D7847" s="1"/>
    </row>
    <row r="7848" spans="3:4" x14ac:dyDescent="0.3">
      <c r="D7848" s="1"/>
    </row>
    <row r="7849" spans="3:4" x14ac:dyDescent="0.3">
      <c r="D7849" s="1"/>
    </row>
    <row r="7850" spans="3:4" x14ac:dyDescent="0.3">
      <c r="C7850" s="1"/>
      <c r="D7850" s="1"/>
    </row>
    <row r="7851" spans="3:4" x14ac:dyDescent="0.3">
      <c r="C7851" s="1"/>
      <c r="D7851" s="1"/>
    </row>
    <row r="7852" spans="3:4" x14ac:dyDescent="0.3">
      <c r="C7852" s="1"/>
      <c r="D7852" s="1"/>
    </row>
    <row r="7853" spans="3:4" x14ac:dyDescent="0.3">
      <c r="C7853" s="1"/>
    </row>
    <row r="7854" spans="3:4" x14ac:dyDescent="0.3">
      <c r="C7854" s="1"/>
    </row>
    <row r="7856" spans="3:4" x14ac:dyDescent="0.3">
      <c r="C7856" s="1"/>
      <c r="D7856" s="1"/>
    </row>
    <row r="7857" spans="3:4" x14ac:dyDescent="0.3">
      <c r="C7857" s="1"/>
      <c r="D7857" s="1"/>
    </row>
    <row r="7858" spans="3:4" x14ac:dyDescent="0.3">
      <c r="D7858" s="1"/>
    </row>
    <row r="7859" spans="3:4" x14ac:dyDescent="0.3">
      <c r="D7859" s="1"/>
    </row>
    <row r="7860" spans="3:4" x14ac:dyDescent="0.3">
      <c r="D7860" s="1"/>
    </row>
    <row r="7861" spans="3:4" x14ac:dyDescent="0.3">
      <c r="D7861" s="1"/>
    </row>
    <row r="7862" spans="3:4" x14ac:dyDescent="0.3">
      <c r="C7862" s="1"/>
      <c r="D7862" s="1"/>
    </row>
    <row r="7863" spans="3:4" x14ac:dyDescent="0.3">
      <c r="C7863" s="1"/>
    </row>
    <row r="7864" spans="3:4" x14ac:dyDescent="0.3">
      <c r="C7864" s="1"/>
    </row>
    <row r="7870" spans="3:4" x14ac:dyDescent="0.3">
      <c r="D7870" s="1"/>
    </row>
    <row r="7871" spans="3:4" x14ac:dyDescent="0.3">
      <c r="C7871" s="1"/>
      <c r="D7871" s="1"/>
    </row>
    <row r="7873" spans="3:4" x14ac:dyDescent="0.3">
      <c r="C7873" s="1"/>
      <c r="D7873" s="1"/>
    </row>
    <row r="7874" spans="3:4" x14ac:dyDescent="0.3">
      <c r="C7874" s="1"/>
      <c r="D7874" s="1"/>
    </row>
    <row r="7875" spans="3:4" x14ac:dyDescent="0.3">
      <c r="C7875" s="1"/>
      <c r="D7875" s="1"/>
    </row>
    <row r="7876" spans="3:4" x14ac:dyDescent="0.3">
      <c r="C7876" s="1"/>
      <c r="D7876" s="1"/>
    </row>
    <row r="7877" spans="3:4" x14ac:dyDescent="0.3">
      <c r="C7877" s="1"/>
    </row>
    <row r="7878" spans="3:4" x14ac:dyDescent="0.3">
      <c r="C7878" s="1"/>
    </row>
    <row r="7879" spans="3:4" x14ac:dyDescent="0.3">
      <c r="C7879" s="1"/>
    </row>
    <row r="7880" spans="3:4" x14ac:dyDescent="0.3">
      <c r="D7880" s="1"/>
    </row>
    <row r="7882" spans="3:4" x14ac:dyDescent="0.3">
      <c r="C7882" s="1"/>
      <c r="D7882" s="1"/>
    </row>
    <row r="7883" spans="3:4" x14ac:dyDescent="0.3">
      <c r="C7883" s="1"/>
      <c r="D7883" s="1"/>
    </row>
    <row r="7884" spans="3:4" x14ac:dyDescent="0.3">
      <c r="C7884" s="1"/>
      <c r="D7884" s="1"/>
    </row>
    <row r="7885" spans="3:4" x14ac:dyDescent="0.3">
      <c r="C7885" s="1"/>
      <c r="D7885" s="1"/>
    </row>
    <row r="7886" spans="3:4" x14ac:dyDescent="0.3">
      <c r="C7886" s="1"/>
      <c r="D7886" s="1"/>
    </row>
    <row r="7887" spans="3:4" x14ac:dyDescent="0.3">
      <c r="C7887" s="1"/>
      <c r="D7887" s="1"/>
    </row>
    <row r="7888" spans="3:4" x14ac:dyDescent="0.3">
      <c r="C7888" s="1"/>
      <c r="D7888" s="1"/>
    </row>
    <row r="7889" spans="3:4" x14ac:dyDescent="0.3">
      <c r="C7889" s="1"/>
      <c r="D7889" s="1"/>
    </row>
    <row r="7906" spans="3:4" x14ac:dyDescent="0.3">
      <c r="C7906" s="1"/>
    </row>
    <row r="7909" spans="3:4" x14ac:dyDescent="0.3">
      <c r="D7909" s="1"/>
    </row>
    <row r="7910" spans="3:4" x14ac:dyDescent="0.3">
      <c r="C7910" s="1"/>
      <c r="D7910" s="1"/>
    </row>
    <row r="7911" spans="3:4" x14ac:dyDescent="0.3">
      <c r="C7911" s="1"/>
      <c r="D7911" s="1"/>
    </row>
    <row r="7912" spans="3:4" x14ac:dyDescent="0.3">
      <c r="C7912" s="1"/>
      <c r="D7912" s="1"/>
    </row>
    <row r="7913" spans="3:4" x14ac:dyDescent="0.3">
      <c r="C7913" s="1"/>
      <c r="D7913" s="1"/>
    </row>
    <row r="7919" spans="3:4" x14ac:dyDescent="0.3">
      <c r="C7919" s="1"/>
      <c r="D7919" s="1"/>
    </row>
    <row r="7920" spans="3:4" x14ac:dyDescent="0.3">
      <c r="C7920" s="1"/>
      <c r="D7920" s="1"/>
    </row>
    <row r="7944" spans="3:4" x14ac:dyDescent="0.3">
      <c r="D7944" s="1"/>
    </row>
    <row r="7945" spans="3:4" x14ac:dyDescent="0.3">
      <c r="D7945" s="1"/>
    </row>
    <row r="7946" spans="3:4" x14ac:dyDescent="0.3">
      <c r="D7946" s="1"/>
    </row>
    <row r="7947" spans="3:4" x14ac:dyDescent="0.3">
      <c r="D7947" s="1"/>
    </row>
    <row r="7948" spans="3:4" x14ac:dyDescent="0.3">
      <c r="D7948" s="1"/>
    </row>
    <row r="7949" spans="3:4" x14ac:dyDescent="0.3">
      <c r="C7949" s="1"/>
      <c r="D7949" s="1"/>
    </row>
    <row r="7950" spans="3:4" x14ac:dyDescent="0.3">
      <c r="C7950" s="1"/>
      <c r="D7950" s="1"/>
    </row>
    <row r="7951" spans="3:4" x14ac:dyDescent="0.3">
      <c r="C7951" s="1"/>
      <c r="D7951" s="1"/>
    </row>
    <row r="7952" spans="3:4" x14ac:dyDescent="0.3">
      <c r="C7952" s="1"/>
      <c r="D7952" s="1"/>
    </row>
    <row r="7955" spans="3:4" x14ac:dyDescent="0.3">
      <c r="C7955" s="1"/>
      <c r="D7955" s="1"/>
    </row>
    <row r="7956" spans="3:4" x14ac:dyDescent="0.3">
      <c r="C7956" s="1"/>
      <c r="D7956" s="1"/>
    </row>
    <row r="7957" spans="3:4" x14ac:dyDescent="0.3">
      <c r="C7957" s="1"/>
      <c r="D7957" s="1"/>
    </row>
    <row r="7958" spans="3:4" x14ac:dyDescent="0.3">
      <c r="C7958" s="1"/>
      <c r="D7958" s="1"/>
    </row>
    <row r="7959" spans="3:4" x14ac:dyDescent="0.3">
      <c r="C7959" s="1"/>
      <c r="D7959" s="1"/>
    </row>
    <row r="7960" spans="3:4" x14ac:dyDescent="0.3">
      <c r="C7960" s="1"/>
      <c r="D7960" s="1"/>
    </row>
    <row r="7961" spans="3:4" x14ac:dyDescent="0.3">
      <c r="C7961" s="1"/>
      <c r="D7961" s="1"/>
    </row>
    <row r="7962" spans="3:4" x14ac:dyDescent="0.3">
      <c r="C7962" s="1"/>
      <c r="D7962" s="1"/>
    </row>
    <row r="7969" spans="3:4" x14ac:dyDescent="0.3">
      <c r="C7969" s="1"/>
      <c r="D7969" s="1"/>
    </row>
    <row r="7970" spans="3:4" x14ac:dyDescent="0.3">
      <c r="C7970" s="1"/>
      <c r="D7970" s="1"/>
    </row>
    <row r="7971" spans="3:4" x14ac:dyDescent="0.3">
      <c r="C7971" s="1"/>
      <c r="D7971" s="1"/>
    </row>
    <row r="7979" spans="3:4" x14ac:dyDescent="0.3">
      <c r="D7979" s="1"/>
    </row>
    <row r="7980" spans="3:4" x14ac:dyDescent="0.3">
      <c r="D7980" s="1"/>
    </row>
    <row r="7982" spans="3:4" x14ac:dyDescent="0.3">
      <c r="C7982" s="1"/>
      <c r="D7982" s="1"/>
    </row>
    <row r="7983" spans="3:4" x14ac:dyDescent="0.3">
      <c r="C7983" s="1"/>
    </row>
    <row r="7984" spans="3:4" x14ac:dyDescent="0.3">
      <c r="C7984" s="1"/>
    </row>
    <row r="7998" spans="3:4" x14ac:dyDescent="0.3">
      <c r="C7998" s="1"/>
      <c r="D7998" s="1"/>
    </row>
    <row r="7999" spans="3:4" x14ac:dyDescent="0.3">
      <c r="C7999" s="1"/>
      <c r="D7999" s="1"/>
    </row>
    <row r="8000" spans="3:4" x14ac:dyDescent="0.3">
      <c r="C8000" s="1"/>
      <c r="D8000" s="1"/>
    </row>
    <row r="8001" spans="3:4" x14ac:dyDescent="0.3">
      <c r="C8001" s="1"/>
      <c r="D8001" s="1"/>
    </row>
    <row r="8002" spans="3:4" x14ac:dyDescent="0.3">
      <c r="C8002" s="1"/>
      <c r="D8002" s="1"/>
    </row>
    <row r="8003" spans="3:4" x14ac:dyDescent="0.3">
      <c r="C8003" s="1"/>
    </row>
    <row r="8004" spans="3:4" x14ac:dyDescent="0.3">
      <c r="C8004" s="1"/>
    </row>
    <row r="8005" spans="3:4" x14ac:dyDescent="0.3">
      <c r="C8005" s="1"/>
      <c r="D8005" s="1"/>
    </row>
    <row r="8006" spans="3:4" x14ac:dyDescent="0.3">
      <c r="C8006" s="1"/>
      <c r="D8006" s="1"/>
    </row>
    <row r="8007" spans="3:4" x14ac:dyDescent="0.3">
      <c r="C8007" s="1"/>
      <c r="D8007" s="1"/>
    </row>
    <row r="8008" spans="3:4" x14ac:dyDescent="0.3">
      <c r="C8008" s="1"/>
      <c r="D8008" s="1"/>
    </row>
    <row r="8018" spans="3:4" x14ac:dyDescent="0.3">
      <c r="C8018" s="1"/>
      <c r="D8018" s="1"/>
    </row>
    <row r="8019" spans="3:4" x14ac:dyDescent="0.3">
      <c r="C8019" s="1"/>
      <c r="D8019" s="1"/>
    </row>
    <row r="8021" spans="3:4" x14ac:dyDescent="0.3">
      <c r="C8021" s="1"/>
      <c r="D8021" s="1"/>
    </row>
    <row r="8022" spans="3:4" x14ac:dyDescent="0.3">
      <c r="C8022" s="1"/>
      <c r="D8022" s="1"/>
    </row>
    <row r="8027" spans="3:4" x14ac:dyDescent="0.3">
      <c r="C8027" s="1"/>
    </row>
    <row r="8028" spans="3:4" x14ac:dyDescent="0.3">
      <c r="C8028" s="1"/>
    </row>
    <row r="8029" spans="3:4" x14ac:dyDescent="0.3">
      <c r="C8029" s="1"/>
    </row>
    <row r="8030" spans="3:4" x14ac:dyDescent="0.3">
      <c r="C8030" s="1"/>
    </row>
    <row r="8032" spans="3:4" x14ac:dyDescent="0.3">
      <c r="C8032" s="1"/>
      <c r="D8032" s="1"/>
    </row>
    <row r="8033" spans="3:4" x14ac:dyDescent="0.3">
      <c r="C8033" s="1"/>
      <c r="D8033" s="1"/>
    </row>
    <row r="8039" spans="3:4" x14ac:dyDescent="0.3">
      <c r="C8039" s="1"/>
    </row>
    <row r="8040" spans="3:4" x14ac:dyDescent="0.3">
      <c r="D8040" s="1"/>
    </row>
    <row r="8044" spans="3:4" x14ac:dyDescent="0.3">
      <c r="C8044" s="1"/>
    </row>
    <row r="8045" spans="3:4" x14ac:dyDescent="0.3">
      <c r="C8045" s="1"/>
    </row>
    <row r="8049" spans="3:4" x14ac:dyDescent="0.3">
      <c r="C8049" s="1"/>
      <c r="D8049" s="1"/>
    </row>
    <row r="8050" spans="3:4" x14ac:dyDescent="0.3">
      <c r="C8050" s="1"/>
      <c r="D8050" s="1"/>
    </row>
    <row r="8055" spans="3:4" x14ac:dyDescent="0.3">
      <c r="D8055" s="1"/>
    </row>
    <row r="8056" spans="3:4" x14ac:dyDescent="0.3">
      <c r="D8056" s="1"/>
    </row>
    <row r="8057" spans="3:4" x14ac:dyDescent="0.3">
      <c r="D8057" s="1"/>
    </row>
    <row r="8058" spans="3:4" x14ac:dyDescent="0.3">
      <c r="D8058" s="1"/>
    </row>
    <row r="8059" spans="3:4" x14ac:dyDescent="0.3">
      <c r="D8059" s="1"/>
    </row>
    <row r="8060" spans="3:4" x14ac:dyDescent="0.3">
      <c r="D8060" s="1"/>
    </row>
    <row r="8061" spans="3:4" x14ac:dyDescent="0.3">
      <c r="D8061" s="1"/>
    </row>
    <row r="8064" spans="3:4" x14ac:dyDescent="0.3">
      <c r="C8064" s="1"/>
      <c r="D8064" s="1"/>
    </row>
    <row r="8065" spans="3:4" x14ac:dyDescent="0.3">
      <c r="C8065" s="1"/>
      <c r="D8065" s="1"/>
    </row>
    <row r="8066" spans="3:4" x14ac:dyDescent="0.3">
      <c r="C8066" s="1"/>
      <c r="D8066" s="1"/>
    </row>
    <row r="8067" spans="3:4" x14ac:dyDescent="0.3">
      <c r="C8067" s="1"/>
      <c r="D8067" s="1"/>
    </row>
    <row r="8068" spans="3:4" x14ac:dyDescent="0.3">
      <c r="C8068" s="1"/>
      <c r="D8068" s="1"/>
    </row>
    <row r="8071" spans="3:4" x14ac:dyDescent="0.3">
      <c r="C8071" s="1"/>
      <c r="D8071" s="1"/>
    </row>
    <row r="8072" spans="3:4" x14ac:dyDescent="0.3">
      <c r="C8072" s="1"/>
      <c r="D8072" s="1"/>
    </row>
    <row r="8073" spans="3:4" x14ac:dyDescent="0.3">
      <c r="C8073" s="1"/>
      <c r="D8073" s="1"/>
    </row>
    <row r="8074" spans="3:4" x14ac:dyDescent="0.3">
      <c r="C8074" s="1"/>
      <c r="D8074" s="1"/>
    </row>
    <row r="8075" spans="3:4" x14ac:dyDescent="0.3">
      <c r="C8075" s="1"/>
      <c r="D8075" s="1"/>
    </row>
    <row r="8076" spans="3:4" x14ac:dyDescent="0.3">
      <c r="C8076" s="1"/>
      <c r="D8076" s="1"/>
    </row>
    <row r="8077" spans="3:4" x14ac:dyDescent="0.3">
      <c r="C8077" s="1"/>
      <c r="D8077" s="1"/>
    </row>
    <row r="8082" spans="3:4" x14ac:dyDescent="0.3">
      <c r="D8082" s="1"/>
    </row>
    <row r="8083" spans="3:4" x14ac:dyDescent="0.3">
      <c r="D8083" s="1"/>
    </row>
    <row r="8084" spans="3:4" x14ac:dyDescent="0.3">
      <c r="D8084" s="1"/>
    </row>
    <row r="8085" spans="3:4" x14ac:dyDescent="0.3">
      <c r="D8085" s="1"/>
    </row>
    <row r="8086" spans="3:4" x14ac:dyDescent="0.3">
      <c r="D8086" s="1"/>
    </row>
    <row r="8088" spans="3:4" x14ac:dyDescent="0.3">
      <c r="D8088" s="1"/>
    </row>
    <row r="8089" spans="3:4" x14ac:dyDescent="0.3">
      <c r="D8089" s="1"/>
    </row>
    <row r="8090" spans="3:4" x14ac:dyDescent="0.3">
      <c r="C8090" s="1"/>
    </row>
    <row r="8091" spans="3:4" x14ac:dyDescent="0.3">
      <c r="C8091" s="1"/>
      <c r="D8091" s="1"/>
    </row>
    <row r="8092" spans="3:4" x14ac:dyDescent="0.3">
      <c r="C8092" s="1"/>
    </row>
    <row r="8093" spans="3:4" x14ac:dyDescent="0.3">
      <c r="C8093" s="1"/>
    </row>
    <row r="8094" spans="3:4" x14ac:dyDescent="0.3">
      <c r="C8094" s="1"/>
    </row>
    <row r="8095" spans="3:4" x14ac:dyDescent="0.3">
      <c r="D8095" s="1"/>
    </row>
    <row r="8096" spans="3:4" x14ac:dyDescent="0.3">
      <c r="D8096" s="1"/>
    </row>
    <row r="8097" spans="3:4" x14ac:dyDescent="0.3">
      <c r="D8097" s="1"/>
    </row>
    <row r="8098" spans="3:4" x14ac:dyDescent="0.3">
      <c r="D8098" s="1"/>
    </row>
    <row r="8099" spans="3:4" x14ac:dyDescent="0.3">
      <c r="D8099" s="1"/>
    </row>
    <row r="8100" spans="3:4" x14ac:dyDescent="0.3">
      <c r="D8100" s="1"/>
    </row>
    <row r="8101" spans="3:4" x14ac:dyDescent="0.3">
      <c r="C8101" s="1"/>
    </row>
    <row r="8102" spans="3:4" x14ac:dyDescent="0.3">
      <c r="C8102" s="1"/>
    </row>
    <row r="8110" spans="3:4" x14ac:dyDescent="0.3">
      <c r="C8110" s="1"/>
    </row>
    <row r="8113" spans="3:4" x14ac:dyDescent="0.3">
      <c r="C8113" s="1"/>
      <c r="D8113" s="1"/>
    </row>
    <row r="8114" spans="3:4" x14ac:dyDescent="0.3">
      <c r="C8114" s="1"/>
      <c r="D8114" s="1"/>
    </row>
    <row r="8115" spans="3:4" x14ac:dyDescent="0.3">
      <c r="C8115" s="1"/>
      <c r="D8115" s="1"/>
    </row>
    <row r="8116" spans="3:4" x14ac:dyDescent="0.3">
      <c r="C8116" s="1"/>
      <c r="D8116" s="1"/>
    </row>
    <row r="8117" spans="3:4" x14ac:dyDescent="0.3">
      <c r="D8117" s="1"/>
    </row>
    <row r="8119" spans="3:4" x14ac:dyDescent="0.3">
      <c r="D8119" s="1"/>
    </row>
    <row r="8121" spans="3:4" x14ac:dyDescent="0.3">
      <c r="C8121" s="1"/>
    </row>
    <row r="8122" spans="3:4" x14ac:dyDescent="0.3">
      <c r="C8122" s="1"/>
    </row>
    <row r="8123" spans="3:4" x14ac:dyDescent="0.3">
      <c r="C8123" s="1"/>
    </row>
    <row r="8124" spans="3:4" x14ac:dyDescent="0.3">
      <c r="C8124" s="1"/>
    </row>
    <row r="8125" spans="3:4" x14ac:dyDescent="0.3">
      <c r="C8125" s="1"/>
    </row>
    <row r="8126" spans="3:4" x14ac:dyDescent="0.3">
      <c r="C8126" s="1"/>
      <c r="D8126" s="1"/>
    </row>
    <row r="8127" spans="3:4" x14ac:dyDescent="0.3">
      <c r="C8127" s="1"/>
    </row>
    <row r="8128" spans="3:4" x14ac:dyDescent="0.3">
      <c r="C8128" s="1"/>
    </row>
    <row r="8129" spans="3:4" x14ac:dyDescent="0.3">
      <c r="C8129" s="1"/>
    </row>
    <row r="8130" spans="3:4" x14ac:dyDescent="0.3">
      <c r="D8130" s="1"/>
    </row>
    <row r="8135" spans="3:4" x14ac:dyDescent="0.3">
      <c r="C8135" s="1"/>
    </row>
    <row r="8138" spans="3:4" x14ac:dyDescent="0.3">
      <c r="C8138" s="1"/>
    </row>
    <row r="8139" spans="3:4" x14ac:dyDescent="0.3">
      <c r="C8139" s="1"/>
    </row>
    <row r="8143" spans="3:4" x14ac:dyDescent="0.3">
      <c r="C8143" s="1"/>
      <c r="D8143" s="1"/>
    </row>
    <row r="8144" spans="3:4" x14ac:dyDescent="0.3">
      <c r="C8144" s="1"/>
      <c r="D8144" s="1"/>
    </row>
    <row r="8145" spans="3:4" x14ac:dyDescent="0.3">
      <c r="C8145" s="1"/>
      <c r="D8145" s="1"/>
    </row>
    <row r="8146" spans="3:4" x14ac:dyDescent="0.3">
      <c r="C8146" s="1"/>
      <c r="D8146" s="1"/>
    </row>
    <row r="8149" spans="3:4" x14ac:dyDescent="0.3">
      <c r="C8149" s="1"/>
    </row>
    <row r="8158" spans="3:4" x14ac:dyDescent="0.3">
      <c r="C8158" s="1"/>
      <c r="D8158" s="1"/>
    </row>
    <row r="8160" spans="3:4" x14ac:dyDescent="0.3">
      <c r="D8160" s="1"/>
    </row>
    <row r="8161" spans="3:4" x14ac:dyDescent="0.3">
      <c r="C8161" s="1"/>
    </row>
    <row r="8163" spans="3:4" x14ac:dyDescent="0.3">
      <c r="D8163" s="1"/>
    </row>
    <row r="8164" spans="3:4" x14ac:dyDescent="0.3">
      <c r="D8164" s="1"/>
    </row>
    <row r="8165" spans="3:4" x14ac:dyDescent="0.3">
      <c r="C8165" s="1"/>
      <c r="D8165" s="1"/>
    </row>
    <row r="8166" spans="3:4" x14ac:dyDescent="0.3">
      <c r="C8166" s="1"/>
      <c r="D8166" s="1"/>
    </row>
    <row r="8167" spans="3:4" x14ac:dyDescent="0.3">
      <c r="C8167" s="1"/>
      <c r="D8167" s="1"/>
    </row>
    <row r="8168" spans="3:4" x14ac:dyDescent="0.3">
      <c r="C8168" s="1"/>
      <c r="D8168" s="1"/>
    </row>
    <row r="8169" spans="3:4" x14ac:dyDescent="0.3">
      <c r="D8169" s="1"/>
    </row>
    <row r="8170" spans="3:4" x14ac:dyDescent="0.3">
      <c r="C8170" s="1"/>
    </row>
    <row r="8171" spans="3:4" x14ac:dyDescent="0.3">
      <c r="C8171" s="1"/>
    </row>
    <row r="8172" spans="3:4" x14ac:dyDescent="0.3">
      <c r="C8172" s="1"/>
    </row>
    <row r="8174" spans="3:4" x14ac:dyDescent="0.3">
      <c r="C8174" s="1"/>
    </row>
    <row r="8175" spans="3:4" x14ac:dyDescent="0.3">
      <c r="C8175" s="1"/>
    </row>
    <row r="8176" spans="3:4" x14ac:dyDescent="0.3">
      <c r="C8176" s="1"/>
    </row>
    <row r="8177" spans="3:4" x14ac:dyDescent="0.3">
      <c r="D8177" s="1"/>
    </row>
    <row r="8180" spans="3:4" x14ac:dyDescent="0.3">
      <c r="C8180" s="1"/>
      <c r="D8180" s="1"/>
    </row>
    <row r="8181" spans="3:4" x14ac:dyDescent="0.3">
      <c r="C8181" s="1"/>
      <c r="D8181" s="1"/>
    </row>
    <row r="8189" spans="3:4" x14ac:dyDescent="0.3">
      <c r="C8189" s="1"/>
    </row>
    <row r="8190" spans="3:4" x14ac:dyDescent="0.3">
      <c r="C8190" s="1"/>
      <c r="D8190" s="1"/>
    </row>
    <row r="8191" spans="3:4" x14ac:dyDescent="0.3">
      <c r="C8191" s="1"/>
      <c r="D8191" s="1"/>
    </row>
    <row r="8194" spans="3:4" x14ac:dyDescent="0.3">
      <c r="D8194" s="1"/>
    </row>
    <row r="8195" spans="3:4" x14ac:dyDescent="0.3">
      <c r="D8195" s="1"/>
    </row>
    <row r="8196" spans="3:4" x14ac:dyDescent="0.3">
      <c r="D8196" s="1"/>
    </row>
    <row r="8197" spans="3:4" x14ac:dyDescent="0.3">
      <c r="C8197" s="1"/>
      <c r="D8197" s="1"/>
    </row>
    <row r="8198" spans="3:4" x14ac:dyDescent="0.3">
      <c r="C8198" s="1"/>
      <c r="D8198" s="1"/>
    </row>
    <row r="8199" spans="3:4" x14ac:dyDescent="0.3">
      <c r="C8199" s="1"/>
      <c r="D8199" s="1"/>
    </row>
    <row r="8200" spans="3:4" x14ac:dyDescent="0.3">
      <c r="C8200" s="1"/>
      <c r="D8200" s="1"/>
    </row>
    <row r="8203" spans="3:4" x14ac:dyDescent="0.3">
      <c r="C8203" s="1"/>
      <c r="D8203" s="1"/>
    </row>
    <row r="8204" spans="3:4" x14ac:dyDescent="0.3">
      <c r="C8204" s="1"/>
      <c r="D8204" s="1"/>
    </row>
    <row r="8205" spans="3:4" x14ac:dyDescent="0.3">
      <c r="C8205" s="1"/>
      <c r="D8205" s="1"/>
    </row>
    <row r="8206" spans="3:4" x14ac:dyDescent="0.3">
      <c r="C8206" s="1"/>
      <c r="D8206" s="1"/>
    </row>
    <row r="8207" spans="3:4" x14ac:dyDescent="0.3">
      <c r="C8207" s="1"/>
      <c r="D8207" s="1"/>
    </row>
    <row r="8212" spans="3:4" x14ac:dyDescent="0.3">
      <c r="C8212" s="1"/>
      <c r="D8212" s="1"/>
    </row>
    <row r="8213" spans="3:4" x14ac:dyDescent="0.3">
      <c r="C8213" s="1"/>
      <c r="D8213" s="1"/>
    </row>
    <row r="8214" spans="3:4" x14ac:dyDescent="0.3">
      <c r="C8214" s="1"/>
      <c r="D8214" s="1"/>
    </row>
    <row r="8215" spans="3:4" x14ac:dyDescent="0.3">
      <c r="D8215" s="1"/>
    </row>
    <row r="8216" spans="3:4" x14ac:dyDescent="0.3">
      <c r="D8216" s="1"/>
    </row>
    <row r="8217" spans="3:4" x14ac:dyDescent="0.3">
      <c r="D8217" s="1"/>
    </row>
    <row r="8218" spans="3:4" x14ac:dyDescent="0.3">
      <c r="D8218" s="1"/>
    </row>
    <row r="8219" spans="3:4" x14ac:dyDescent="0.3">
      <c r="C8219" s="1"/>
      <c r="D8219" s="1"/>
    </row>
    <row r="8220" spans="3:4" x14ac:dyDescent="0.3">
      <c r="C8220" s="1"/>
      <c r="D8220" s="1"/>
    </row>
    <row r="8221" spans="3:4" x14ac:dyDescent="0.3">
      <c r="C8221" s="1"/>
      <c r="D8221" s="1"/>
    </row>
    <row r="8222" spans="3:4" x14ac:dyDescent="0.3">
      <c r="C8222" s="1"/>
      <c r="D8222" s="1"/>
    </row>
    <row r="8223" spans="3:4" x14ac:dyDescent="0.3">
      <c r="C8223" s="1"/>
      <c r="D8223" s="1"/>
    </row>
    <row r="8225" spans="3:4" x14ac:dyDescent="0.3">
      <c r="C8225" s="1"/>
    </row>
    <row r="8226" spans="3:4" x14ac:dyDescent="0.3">
      <c r="C8226" s="1"/>
    </row>
    <row r="8227" spans="3:4" x14ac:dyDescent="0.3">
      <c r="C8227" s="1"/>
      <c r="D8227" s="1"/>
    </row>
    <row r="8228" spans="3:4" x14ac:dyDescent="0.3">
      <c r="C8228" s="1"/>
      <c r="D8228" s="1"/>
    </row>
    <row r="8229" spans="3:4" x14ac:dyDescent="0.3">
      <c r="C8229" s="1"/>
      <c r="D8229" s="1"/>
    </row>
    <row r="8230" spans="3:4" x14ac:dyDescent="0.3">
      <c r="C8230" s="1"/>
      <c r="D8230" s="1"/>
    </row>
    <row r="8231" spans="3:4" x14ac:dyDescent="0.3">
      <c r="C8231" s="1"/>
      <c r="D8231" s="1"/>
    </row>
    <row r="8232" spans="3:4" x14ac:dyDescent="0.3">
      <c r="D8232" s="1"/>
    </row>
    <row r="8233" spans="3:4" x14ac:dyDescent="0.3">
      <c r="D8233" s="1"/>
    </row>
    <row r="8236" spans="3:4" x14ac:dyDescent="0.3">
      <c r="C8236" s="1"/>
      <c r="D8236" s="1"/>
    </row>
    <row r="8237" spans="3:4" x14ac:dyDescent="0.3">
      <c r="C8237" s="1"/>
      <c r="D8237" s="1"/>
    </row>
    <row r="8238" spans="3:4" x14ac:dyDescent="0.3">
      <c r="C8238" s="1"/>
      <c r="D8238" s="1"/>
    </row>
    <row r="8243" spans="3:4" x14ac:dyDescent="0.3">
      <c r="C8243" s="1"/>
      <c r="D8243" s="1"/>
    </row>
    <row r="8244" spans="3:4" x14ac:dyDescent="0.3">
      <c r="C8244" s="1"/>
      <c r="D8244" s="1"/>
    </row>
    <row r="8245" spans="3:4" x14ac:dyDescent="0.3">
      <c r="C8245" s="1"/>
    </row>
    <row r="8246" spans="3:4" x14ac:dyDescent="0.3">
      <c r="C8246" s="1"/>
    </row>
    <row r="8248" spans="3:4" x14ac:dyDescent="0.3">
      <c r="C8248" s="1"/>
      <c r="D8248" s="1"/>
    </row>
    <row r="8249" spans="3:4" x14ac:dyDescent="0.3">
      <c r="C8249" s="1"/>
      <c r="D8249" s="1"/>
    </row>
    <row r="8250" spans="3:4" x14ac:dyDescent="0.3">
      <c r="C8250" s="1"/>
    </row>
    <row r="8251" spans="3:4" x14ac:dyDescent="0.3">
      <c r="C8251" s="1"/>
      <c r="D8251" s="1"/>
    </row>
    <row r="8252" spans="3:4" x14ac:dyDescent="0.3">
      <c r="C8252" s="1"/>
      <c r="D8252" s="1"/>
    </row>
    <row r="8253" spans="3:4" x14ac:dyDescent="0.3">
      <c r="C8253" s="1"/>
      <c r="D8253" s="1"/>
    </row>
    <row r="8254" spans="3:4" x14ac:dyDescent="0.3">
      <c r="C8254" s="1"/>
      <c r="D8254" s="1"/>
    </row>
    <row r="8255" spans="3:4" x14ac:dyDescent="0.3">
      <c r="C8255" s="1"/>
    </row>
    <row r="8256" spans="3:4" x14ac:dyDescent="0.3">
      <c r="C8256" s="1"/>
    </row>
    <row r="8257" spans="3:4" x14ac:dyDescent="0.3">
      <c r="C8257" s="1"/>
    </row>
    <row r="8258" spans="3:4" x14ac:dyDescent="0.3">
      <c r="C8258" s="1"/>
    </row>
    <row r="8259" spans="3:4" x14ac:dyDescent="0.3">
      <c r="C8259" s="1"/>
    </row>
    <row r="8260" spans="3:4" x14ac:dyDescent="0.3">
      <c r="C8260" s="1"/>
    </row>
    <row r="8266" spans="3:4" x14ac:dyDescent="0.3">
      <c r="D8266" s="1"/>
    </row>
    <row r="8267" spans="3:4" x14ac:dyDescent="0.3">
      <c r="D8267" s="1"/>
    </row>
    <row r="8268" spans="3:4" x14ac:dyDescent="0.3">
      <c r="D8268" s="1"/>
    </row>
    <row r="8269" spans="3:4" x14ac:dyDescent="0.3">
      <c r="D8269" s="1"/>
    </row>
    <row r="8270" spans="3:4" x14ac:dyDescent="0.3">
      <c r="D8270" s="1"/>
    </row>
    <row r="8271" spans="3:4" x14ac:dyDescent="0.3">
      <c r="D8271" s="1"/>
    </row>
    <row r="8272" spans="3:4" x14ac:dyDescent="0.3">
      <c r="D8272" s="1"/>
    </row>
    <row r="8276" spans="3:4" x14ac:dyDescent="0.3">
      <c r="D8276" s="1"/>
    </row>
    <row r="8282" spans="3:4" x14ac:dyDescent="0.3">
      <c r="C8282" s="1"/>
      <c r="D8282" s="1"/>
    </row>
    <row r="8283" spans="3:4" x14ac:dyDescent="0.3">
      <c r="C8283" s="1"/>
      <c r="D8283" s="1"/>
    </row>
    <row r="8288" spans="3:4" x14ac:dyDescent="0.3">
      <c r="C8288" s="1"/>
    </row>
    <row r="8289" spans="3:4" x14ac:dyDescent="0.3">
      <c r="C8289" s="1"/>
    </row>
    <row r="8290" spans="3:4" x14ac:dyDescent="0.3">
      <c r="C8290" s="1"/>
    </row>
    <row r="8291" spans="3:4" x14ac:dyDescent="0.3">
      <c r="C8291" s="1"/>
    </row>
    <row r="8292" spans="3:4" x14ac:dyDescent="0.3">
      <c r="C8292" s="1"/>
    </row>
    <row r="8293" spans="3:4" x14ac:dyDescent="0.3">
      <c r="C8293" s="1"/>
    </row>
    <row r="8294" spans="3:4" x14ac:dyDescent="0.3">
      <c r="C8294" s="1"/>
    </row>
    <row r="8295" spans="3:4" x14ac:dyDescent="0.3">
      <c r="C8295" s="1"/>
      <c r="D8295" s="1"/>
    </row>
    <row r="8297" spans="3:4" x14ac:dyDescent="0.3">
      <c r="D8297" s="1"/>
    </row>
    <row r="8298" spans="3:4" x14ac:dyDescent="0.3">
      <c r="D8298" s="1"/>
    </row>
    <row r="8299" spans="3:4" x14ac:dyDescent="0.3">
      <c r="C8299" s="1"/>
      <c r="D8299" s="1"/>
    </row>
    <row r="8300" spans="3:4" x14ac:dyDescent="0.3">
      <c r="C8300" s="1"/>
      <c r="D8300" s="1"/>
    </row>
    <row r="8301" spans="3:4" x14ac:dyDescent="0.3">
      <c r="C8301" s="1"/>
    </row>
    <row r="8303" spans="3:4" x14ac:dyDescent="0.3">
      <c r="D8303" s="1"/>
    </row>
    <row r="8304" spans="3:4" x14ac:dyDescent="0.3">
      <c r="D8304" s="1"/>
    </row>
    <row r="8305" spans="3:4" x14ac:dyDescent="0.3">
      <c r="D8305" s="1"/>
    </row>
    <row r="8306" spans="3:4" x14ac:dyDescent="0.3">
      <c r="C8306" s="1"/>
      <c r="D8306" s="1"/>
    </row>
    <row r="8307" spans="3:4" x14ac:dyDescent="0.3">
      <c r="C8307" s="1"/>
    </row>
    <row r="8308" spans="3:4" x14ac:dyDescent="0.3">
      <c r="C8308" s="1"/>
    </row>
    <row r="8309" spans="3:4" x14ac:dyDescent="0.3">
      <c r="C8309" s="1"/>
    </row>
    <row r="8311" spans="3:4" x14ac:dyDescent="0.3">
      <c r="C8311" s="1"/>
      <c r="D8311" s="1"/>
    </row>
    <row r="8312" spans="3:4" x14ac:dyDescent="0.3">
      <c r="C8312" s="1"/>
      <c r="D8312" s="1"/>
    </row>
    <row r="8315" spans="3:4" x14ac:dyDescent="0.3">
      <c r="C8315" s="1"/>
    </row>
    <row r="8316" spans="3:4" x14ac:dyDescent="0.3">
      <c r="C8316" s="1"/>
    </row>
    <row r="8317" spans="3:4" x14ac:dyDescent="0.3">
      <c r="C8317" s="1"/>
    </row>
    <row r="8318" spans="3:4" x14ac:dyDescent="0.3">
      <c r="C8318" s="1"/>
    </row>
    <row r="8319" spans="3:4" x14ac:dyDescent="0.3">
      <c r="C8319" s="1"/>
    </row>
    <row r="8320" spans="3:4" x14ac:dyDescent="0.3">
      <c r="C8320" s="1"/>
    </row>
    <row r="8322" spans="3:4" x14ac:dyDescent="0.3">
      <c r="C8322" s="1"/>
      <c r="D8322" s="1"/>
    </row>
    <row r="8323" spans="3:4" x14ac:dyDescent="0.3">
      <c r="D8323" s="1"/>
    </row>
    <row r="8326" spans="3:4" x14ac:dyDescent="0.3">
      <c r="C8326" s="1"/>
      <c r="D8326" s="1"/>
    </row>
    <row r="8327" spans="3:4" x14ac:dyDescent="0.3">
      <c r="C8327" s="1"/>
      <c r="D8327" s="1"/>
    </row>
    <row r="8330" spans="3:4" x14ac:dyDescent="0.3">
      <c r="C8330" s="1"/>
      <c r="D8330" s="1"/>
    </row>
    <row r="8331" spans="3:4" x14ac:dyDescent="0.3">
      <c r="C8331" s="1"/>
      <c r="D8331" s="1"/>
    </row>
    <row r="8332" spans="3:4" x14ac:dyDescent="0.3">
      <c r="C8332" s="1"/>
      <c r="D8332" s="1"/>
    </row>
    <row r="8333" spans="3:4" x14ac:dyDescent="0.3">
      <c r="C8333" s="1"/>
      <c r="D8333" s="1"/>
    </row>
    <row r="8334" spans="3:4" x14ac:dyDescent="0.3">
      <c r="C8334" s="1"/>
      <c r="D8334" s="1"/>
    </row>
    <row r="8335" spans="3:4" x14ac:dyDescent="0.3">
      <c r="C8335" s="1"/>
      <c r="D8335" s="1"/>
    </row>
    <row r="8336" spans="3:4" x14ac:dyDescent="0.3">
      <c r="C8336" s="1"/>
      <c r="D8336" s="1"/>
    </row>
    <row r="8338" spans="3:4" x14ac:dyDescent="0.3">
      <c r="C8338" s="1"/>
      <c r="D8338" s="1"/>
    </row>
    <row r="8339" spans="3:4" x14ac:dyDescent="0.3">
      <c r="D8339" s="1"/>
    </row>
    <row r="8340" spans="3:4" x14ac:dyDescent="0.3">
      <c r="D8340" s="1"/>
    </row>
    <row r="8343" spans="3:4" x14ac:dyDescent="0.3">
      <c r="C8343" s="1"/>
    </row>
    <row r="8348" spans="3:4" x14ac:dyDescent="0.3">
      <c r="D8348" s="1"/>
    </row>
    <row r="8349" spans="3:4" x14ac:dyDescent="0.3">
      <c r="D8349" s="1"/>
    </row>
    <row r="8350" spans="3:4" x14ac:dyDescent="0.3">
      <c r="D8350" s="1"/>
    </row>
    <row r="8351" spans="3:4" x14ac:dyDescent="0.3">
      <c r="D8351" s="1"/>
    </row>
    <row r="8352" spans="3:4" x14ac:dyDescent="0.3">
      <c r="D8352" s="1"/>
    </row>
    <row r="8353" spans="3:4" x14ac:dyDescent="0.3">
      <c r="C8353" s="1"/>
      <c r="D8353" s="1"/>
    </row>
    <row r="8354" spans="3:4" x14ac:dyDescent="0.3">
      <c r="C8354" s="1"/>
      <c r="D8354" s="1"/>
    </row>
    <row r="8355" spans="3:4" x14ac:dyDescent="0.3">
      <c r="C8355" s="1"/>
      <c r="D8355" s="1"/>
    </row>
    <row r="8356" spans="3:4" x14ac:dyDescent="0.3">
      <c r="C8356" s="1"/>
      <c r="D8356" s="1"/>
    </row>
    <row r="8357" spans="3:4" x14ac:dyDescent="0.3">
      <c r="C8357" s="1"/>
      <c r="D8357" s="1"/>
    </row>
    <row r="8359" spans="3:4" x14ac:dyDescent="0.3">
      <c r="C8359" s="1"/>
    </row>
    <row r="8360" spans="3:4" x14ac:dyDescent="0.3">
      <c r="C8360" s="1"/>
    </row>
    <row r="8361" spans="3:4" x14ac:dyDescent="0.3">
      <c r="C8361" s="1"/>
    </row>
    <row r="8362" spans="3:4" x14ac:dyDescent="0.3">
      <c r="C8362" s="1"/>
      <c r="D8362" s="1"/>
    </row>
    <row r="8363" spans="3:4" x14ac:dyDescent="0.3">
      <c r="C8363" s="1"/>
      <c r="D8363" s="1"/>
    </row>
    <row r="8364" spans="3:4" x14ac:dyDescent="0.3">
      <c r="C8364" s="1"/>
      <c r="D8364" s="1"/>
    </row>
    <row r="8365" spans="3:4" x14ac:dyDescent="0.3">
      <c r="C8365" s="1"/>
      <c r="D8365" s="1"/>
    </row>
    <row r="8366" spans="3:4" x14ac:dyDescent="0.3">
      <c r="D8366" s="1"/>
    </row>
    <row r="8367" spans="3:4" x14ac:dyDescent="0.3">
      <c r="D8367" s="1"/>
    </row>
    <row r="8368" spans="3:4" x14ac:dyDescent="0.3">
      <c r="C8368" s="1"/>
      <c r="D8368" s="1"/>
    </row>
    <row r="8369" spans="3:4" x14ac:dyDescent="0.3">
      <c r="C8369" s="1"/>
      <c r="D8369" s="1"/>
    </row>
    <row r="8370" spans="3:4" x14ac:dyDescent="0.3">
      <c r="C8370" s="1"/>
      <c r="D8370" s="1"/>
    </row>
    <row r="8371" spans="3:4" x14ac:dyDescent="0.3">
      <c r="C8371" s="1"/>
    </row>
    <row r="8374" spans="3:4" x14ac:dyDescent="0.3">
      <c r="D8374" s="1"/>
    </row>
    <row r="8375" spans="3:4" x14ac:dyDescent="0.3">
      <c r="C8375" s="1"/>
    </row>
    <row r="8376" spans="3:4" x14ac:dyDescent="0.3">
      <c r="C8376" s="1"/>
      <c r="D8376" s="1"/>
    </row>
    <row r="8377" spans="3:4" x14ac:dyDescent="0.3">
      <c r="C8377" s="1"/>
      <c r="D8377" s="1"/>
    </row>
    <row r="8379" spans="3:4" x14ac:dyDescent="0.3">
      <c r="C8379" s="1"/>
    </row>
    <row r="8380" spans="3:4" x14ac:dyDescent="0.3">
      <c r="C8380" s="1"/>
    </row>
    <row r="8381" spans="3:4" x14ac:dyDescent="0.3">
      <c r="C8381" s="1"/>
    </row>
    <row r="8382" spans="3:4" x14ac:dyDescent="0.3">
      <c r="C8382" s="1"/>
    </row>
    <row r="8384" spans="3:4" x14ac:dyDescent="0.3">
      <c r="C8384" s="1"/>
    </row>
    <row r="8387" spans="3:4" x14ac:dyDescent="0.3">
      <c r="C8387" s="1"/>
      <c r="D8387" s="1"/>
    </row>
    <row r="8388" spans="3:4" x14ac:dyDescent="0.3">
      <c r="D8388" s="1"/>
    </row>
    <row r="8389" spans="3:4" x14ac:dyDescent="0.3">
      <c r="D8389" s="1"/>
    </row>
    <row r="8390" spans="3:4" x14ac:dyDescent="0.3">
      <c r="C8390" s="1"/>
      <c r="D8390" s="1"/>
    </row>
    <row r="8392" spans="3:4" x14ac:dyDescent="0.3">
      <c r="C8392" s="1"/>
      <c r="D8392" s="1"/>
    </row>
    <row r="8394" spans="3:4" x14ac:dyDescent="0.3">
      <c r="C8394" s="1"/>
      <c r="D8394" s="1"/>
    </row>
    <row r="8395" spans="3:4" x14ac:dyDescent="0.3">
      <c r="C8395" s="1"/>
      <c r="D8395" s="1"/>
    </row>
    <row r="8396" spans="3:4" x14ac:dyDescent="0.3">
      <c r="C8396" s="1"/>
      <c r="D8396" s="1"/>
    </row>
    <row r="8397" spans="3:4" x14ac:dyDescent="0.3">
      <c r="C8397" s="1"/>
      <c r="D8397" s="1"/>
    </row>
    <row r="8399" spans="3:4" x14ac:dyDescent="0.3">
      <c r="C8399" s="1"/>
      <c r="D8399" s="1"/>
    </row>
    <row r="8400" spans="3:4" x14ac:dyDescent="0.3">
      <c r="C8400" s="1"/>
      <c r="D8400" s="1"/>
    </row>
    <row r="8402" spans="3:4" x14ac:dyDescent="0.3">
      <c r="C8402" s="1"/>
      <c r="D8402" s="1"/>
    </row>
    <row r="8403" spans="3:4" x14ac:dyDescent="0.3">
      <c r="C8403" s="1"/>
      <c r="D8403" s="1"/>
    </row>
    <row r="8404" spans="3:4" x14ac:dyDescent="0.3">
      <c r="C8404" s="1"/>
      <c r="D8404" s="1"/>
    </row>
    <row r="8405" spans="3:4" x14ac:dyDescent="0.3">
      <c r="C8405" s="1"/>
      <c r="D8405" s="1"/>
    </row>
    <row r="8406" spans="3:4" x14ac:dyDescent="0.3">
      <c r="C8406" s="1"/>
      <c r="D8406" s="1"/>
    </row>
    <row r="8407" spans="3:4" x14ac:dyDescent="0.3">
      <c r="C8407" s="1"/>
      <c r="D8407" s="1"/>
    </row>
    <row r="8408" spans="3:4" x14ac:dyDescent="0.3">
      <c r="C8408" s="1"/>
      <c r="D8408" s="1"/>
    </row>
    <row r="8409" spans="3:4" x14ac:dyDescent="0.3">
      <c r="C8409" s="1"/>
      <c r="D8409" s="1"/>
    </row>
    <row r="8410" spans="3:4" x14ac:dyDescent="0.3">
      <c r="C8410" s="1"/>
      <c r="D8410" s="1"/>
    </row>
    <row r="8411" spans="3:4" x14ac:dyDescent="0.3">
      <c r="C8411" s="1"/>
    </row>
    <row r="8413" spans="3:4" x14ac:dyDescent="0.3">
      <c r="C8413" s="1"/>
      <c r="D8413" s="1"/>
    </row>
    <row r="8414" spans="3:4" x14ac:dyDescent="0.3">
      <c r="C8414" s="1"/>
    </row>
    <row r="8417" spans="3:4" x14ac:dyDescent="0.3">
      <c r="C8417" s="1"/>
      <c r="D8417" s="1"/>
    </row>
    <row r="8418" spans="3:4" x14ac:dyDescent="0.3">
      <c r="C8418" s="1"/>
      <c r="D8418" s="1"/>
    </row>
    <row r="8419" spans="3:4" x14ac:dyDescent="0.3">
      <c r="C8419" s="1"/>
      <c r="D8419" s="1"/>
    </row>
    <row r="8420" spans="3:4" x14ac:dyDescent="0.3">
      <c r="C8420" s="1"/>
      <c r="D8420" s="1"/>
    </row>
    <row r="8421" spans="3:4" x14ac:dyDescent="0.3">
      <c r="C8421" s="1"/>
      <c r="D8421" s="1"/>
    </row>
    <row r="8422" spans="3:4" x14ac:dyDescent="0.3">
      <c r="C8422" s="1"/>
      <c r="D8422" s="1"/>
    </row>
    <row r="8423" spans="3:4" x14ac:dyDescent="0.3">
      <c r="C8423" s="1"/>
    </row>
    <row r="8424" spans="3:4" x14ac:dyDescent="0.3">
      <c r="C8424" s="1"/>
    </row>
    <row r="8425" spans="3:4" x14ac:dyDescent="0.3">
      <c r="C8425" s="1"/>
    </row>
    <row r="8426" spans="3:4" x14ac:dyDescent="0.3">
      <c r="C8426" s="1"/>
    </row>
    <row r="8428" spans="3:4" x14ac:dyDescent="0.3">
      <c r="C8428" s="1"/>
      <c r="D8428" s="1"/>
    </row>
    <row r="8430" spans="3:4" x14ac:dyDescent="0.3">
      <c r="C8430" s="1"/>
    </row>
    <row r="8432" spans="3:4" x14ac:dyDescent="0.3">
      <c r="D8432" s="1"/>
    </row>
    <row r="8433" spans="3:4" x14ac:dyDescent="0.3">
      <c r="C8433" s="1"/>
    </row>
    <row r="8439" spans="3:4" x14ac:dyDescent="0.3">
      <c r="C8439" s="1"/>
    </row>
    <row r="8440" spans="3:4" x14ac:dyDescent="0.3">
      <c r="D8440" s="1"/>
    </row>
    <row r="8442" spans="3:4" x14ac:dyDescent="0.3">
      <c r="C8442" s="1"/>
      <c r="D8442" s="1"/>
    </row>
    <row r="8443" spans="3:4" x14ac:dyDescent="0.3">
      <c r="C8443" s="1"/>
      <c r="D8443" s="1"/>
    </row>
    <row r="8444" spans="3:4" x14ac:dyDescent="0.3">
      <c r="C8444" s="1"/>
      <c r="D8444" s="1"/>
    </row>
    <row r="8445" spans="3:4" x14ac:dyDescent="0.3">
      <c r="C8445" s="1"/>
      <c r="D8445" s="1"/>
    </row>
    <row r="8446" spans="3:4" x14ac:dyDescent="0.3">
      <c r="C8446" s="1"/>
      <c r="D8446" s="1"/>
    </row>
    <row r="8458" spans="3:4" x14ac:dyDescent="0.3">
      <c r="D8458" s="1"/>
    </row>
    <row r="8459" spans="3:4" x14ac:dyDescent="0.3">
      <c r="D8459" s="1"/>
    </row>
    <row r="8462" spans="3:4" x14ac:dyDescent="0.3">
      <c r="D8462" s="1"/>
    </row>
    <row r="8463" spans="3:4" x14ac:dyDescent="0.3">
      <c r="D8463" s="1"/>
    </row>
    <row r="8464" spans="3:4" x14ac:dyDescent="0.3">
      <c r="C8464" s="1"/>
      <c r="D8464" s="1"/>
    </row>
    <row r="8465" spans="3:4" x14ac:dyDescent="0.3">
      <c r="D8465" s="1"/>
    </row>
    <row r="8466" spans="3:4" x14ac:dyDescent="0.3">
      <c r="C8466" s="1"/>
    </row>
    <row r="8467" spans="3:4" x14ac:dyDescent="0.3">
      <c r="C8467" s="1"/>
    </row>
    <row r="8468" spans="3:4" x14ac:dyDescent="0.3">
      <c r="C8468" s="1"/>
    </row>
    <row r="8470" spans="3:4" x14ac:dyDescent="0.3">
      <c r="C8470" s="1"/>
    </row>
    <row r="8476" spans="3:4" x14ac:dyDescent="0.3">
      <c r="C8476" s="1"/>
    </row>
    <row r="8477" spans="3:4" x14ac:dyDescent="0.3">
      <c r="C8477" s="1"/>
    </row>
    <row r="8478" spans="3:4" x14ac:dyDescent="0.3">
      <c r="D8478" s="1"/>
    </row>
    <row r="8481" spans="3:4" x14ac:dyDescent="0.3">
      <c r="C8481" s="1"/>
    </row>
    <row r="8484" spans="3:4" x14ac:dyDescent="0.3">
      <c r="C8484" s="1"/>
    </row>
    <row r="8490" spans="3:4" x14ac:dyDescent="0.3">
      <c r="C8490" s="1"/>
      <c r="D8490" s="1"/>
    </row>
    <row r="8491" spans="3:4" x14ac:dyDescent="0.3">
      <c r="C8491" s="1"/>
      <c r="D8491" s="1"/>
    </row>
    <row r="8492" spans="3:4" x14ac:dyDescent="0.3">
      <c r="C8492" s="1"/>
      <c r="D8492" s="1"/>
    </row>
    <row r="8493" spans="3:4" x14ac:dyDescent="0.3">
      <c r="C8493" s="1"/>
      <c r="D8493" s="1"/>
    </row>
    <row r="8497" spans="3:4" x14ac:dyDescent="0.3">
      <c r="C8497" s="1"/>
      <c r="D8497" s="1"/>
    </row>
    <row r="8498" spans="3:4" x14ac:dyDescent="0.3">
      <c r="C8498" s="1"/>
      <c r="D8498" s="1"/>
    </row>
    <row r="8499" spans="3:4" x14ac:dyDescent="0.3">
      <c r="C8499" s="1"/>
      <c r="D8499" s="1"/>
    </row>
    <row r="8500" spans="3:4" x14ac:dyDescent="0.3">
      <c r="C8500" s="1"/>
      <c r="D8500" s="1"/>
    </row>
    <row r="8501" spans="3:4" x14ac:dyDescent="0.3">
      <c r="C8501" s="1"/>
      <c r="D8501" s="1"/>
    </row>
    <row r="8502" spans="3:4" x14ac:dyDescent="0.3">
      <c r="C8502" s="1"/>
      <c r="D8502" s="1"/>
    </row>
    <row r="8503" spans="3:4" x14ac:dyDescent="0.3">
      <c r="C8503" s="1"/>
      <c r="D8503" s="1"/>
    </row>
    <row r="8504" spans="3:4" x14ac:dyDescent="0.3">
      <c r="C8504" s="1"/>
      <c r="D8504" s="1"/>
    </row>
    <row r="8506" spans="3:4" x14ac:dyDescent="0.3">
      <c r="C8506" s="1"/>
      <c r="D8506" s="1"/>
    </row>
    <row r="8507" spans="3:4" x14ac:dyDescent="0.3">
      <c r="C8507" s="1"/>
      <c r="D8507" s="1"/>
    </row>
    <row r="8508" spans="3:4" x14ac:dyDescent="0.3">
      <c r="C8508" s="1"/>
      <c r="D8508" s="1"/>
    </row>
    <row r="8509" spans="3:4" x14ac:dyDescent="0.3">
      <c r="C8509" s="1"/>
      <c r="D8509" s="1"/>
    </row>
    <row r="8510" spans="3:4" x14ac:dyDescent="0.3">
      <c r="C8510" s="1"/>
    </row>
    <row r="8511" spans="3:4" x14ac:dyDescent="0.3">
      <c r="C8511" s="1"/>
    </row>
    <row r="8512" spans="3:4" x14ac:dyDescent="0.3">
      <c r="C8512" s="1"/>
    </row>
    <row r="8514" spans="3:4" x14ac:dyDescent="0.3">
      <c r="C8514" s="1"/>
      <c r="D8514" s="1"/>
    </row>
    <row r="8515" spans="3:4" x14ac:dyDescent="0.3">
      <c r="C8515" s="1"/>
      <c r="D8515" s="1"/>
    </row>
    <row r="8518" spans="3:4" x14ac:dyDescent="0.3">
      <c r="C8518" s="1"/>
      <c r="D8518" s="1"/>
    </row>
    <row r="8519" spans="3:4" x14ac:dyDescent="0.3">
      <c r="C8519" s="1"/>
      <c r="D8519" s="1"/>
    </row>
    <row r="8520" spans="3:4" x14ac:dyDescent="0.3">
      <c r="C8520" s="1"/>
      <c r="D8520" s="1"/>
    </row>
    <row r="8521" spans="3:4" x14ac:dyDescent="0.3">
      <c r="C8521" s="1"/>
      <c r="D8521" s="1"/>
    </row>
    <row r="8522" spans="3:4" x14ac:dyDescent="0.3">
      <c r="C8522" s="1"/>
      <c r="D8522" s="1"/>
    </row>
    <row r="8523" spans="3:4" x14ac:dyDescent="0.3">
      <c r="C8523" s="1"/>
    </row>
    <row r="8524" spans="3:4" x14ac:dyDescent="0.3">
      <c r="C8524" s="1"/>
      <c r="D8524" s="1"/>
    </row>
    <row r="8531" spans="3:4" x14ac:dyDescent="0.3">
      <c r="C8531" s="1"/>
    </row>
    <row r="8532" spans="3:4" x14ac:dyDescent="0.3">
      <c r="D8532" s="1"/>
    </row>
    <row r="8533" spans="3:4" x14ac:dyDescent="0.3">
      <c r="D8533" s="1"/>
    </row>
    <row r="8534" spans="3:4" x14ac:dyDescent="0.3">
      <c r="D8534" s="1"/>
    </row>
    <row r="8535" spans="3:4" x14ac:dyDescent="0.3">
      <c r="D8535" s="1"/>
    </row>
    <row r="8538" spans="3:4" x14ac:dyDescent="0.3">
      <c r="C8538" s="1"/>
      <c r="D8538" s="1"/>
    </row>
    <row r="8539" spans="3:4" x14ac:dyDescent="0.3">
      <c r="C8539" s="1"/>
      <c r="D8539" s="1"/>
    </row>
    <row r="8540" spans="3:4" x14ac:dyDescent="0.3">
      <c r="C8540" s="1"/>
      <c r="D8540" s="1"/>
    </row>
    <row r="8541" spans="3:4" x14ac:dyDescent="0.3">
      <c r="C8541" s="1"/>
    </row>
    <row r="8542" spans="3:4" x14ac:dyDescent="0.3">
      <c r="C8542" s="1"/>
    </row>
    <row r="8545" spans="3:4" x14ac:dyDescent="0.3">
      <c r="C8545" s="1"/>
      <c r="D8545" s="1"/>
    </row>
    <row r="8549" spans="3:4" x14ac:dyDescent="0.3">
      <c r="C8549" s="1"/>
      <c r="D8549" s="1"/>
    </row>
    <row r="8550" spans="3:4" x14ac:dyDescent="0.3">
      <c r="C8550" s="1"/>
      <c r="D8550" s="1"/>
    </row>
    <row r="8551" spans="3:4" x14ac:dyDescent="0.3">
      <c r="C8551" s="1"/>
      <c r="D8551" s="1"/>
    </row>
    <row r="8554" spans="3:4" x14ac:dyDescent="0.3">
      <c r="D8554" s="1"/>
    </row>
    <row r="8556" spans="3:4" x14ac:dyDescent="0.3">
      <c r="C8556" s="1"/>
      <c r="D8556" s="1"/>
    </row>
    <row r="8564" spans="3:4" x14ac:dyDescent="0.3">
      <c r="C8564" s="1"/>
      <c r="D8564" s="1"/>
    </row>
    <row r="8565" spans="3:4" x14ac:dyDescent="0.3">
      <c r="D8565" s="1"/>
    </row>
    <row r="8566" spans="3:4" x14ac:dyDescent="0.3">
      <c r="D8566" s="1"/>
    </row>
    <row r="8569" spans="3:4" x14ac:dyDescent="0.3">
      <c r="C8569" s="1"/>
      <c r="D8569" s="1"/>
    </row>
    <row r="8570" spans="3:4" x14ac:dyDescent="0.3">
      <c r="C8570" s="1"/>
      <c r="D8570" s="1"/>
    </row>
    <row r="8571" spans="3:4" x14ac:dyDescent="0.3">
      <c r="C8571" s="1"/>
      <c r="D8571" s="1"/>
    </row>
    <row r="8572" spans="3:4" x14ac:dyDescent="0.3">
      <c r="C8572" s="1"/>
      <c r="D8572" s="1"/>
    </row>
    <row r="8573" spans="3:4" x14ac:dyDescent="0.3">
      <c r="C8573" s="1"/>
      <c r="D8573" s="1"/>
    </row>
    <row r="8574" spans="3:4" x14ac:dyDescent="0.3">
      <c r="D8574" s="1"/>
    </row>
    <row r="8578" spans="3:4" x14ac:dyDescent="0.3">
      <c r="C8578" s="1"/>
      <c r="D8578" s="1"/>
    </row>
    <row r="8581" spans="3:4" x14ac:dyDescent="0.3">
      <c r="D8581" s="1"/>
    </row>
    <row r="8586" spans="3:4" x14ac:dyDescent="0.3">
      <c r="C8586" s="1"/>
      <c r="D8586" s="1"/>
    </row>
    <row r="8587" spans="3:4" x14ac:dyDescent="0.3">
      <c r="C8587" s="1"/>
    </row>
    <row r="8588" spans="3:4" x14ac:dyDescent="0.3">
      <c r="C8588" s="1"/>
    </row>
    <row r="8589" spans="3:4" x14ac:dyDescent="0.3">
      <c r="C8589" s="1"/>
    </row>
    <row r="8591" spans="3:4" x14ac:dyDescent="0.3">
      <c r="D8591" s="1"/>
    </row>
    <row r="8592" spans="3:4" x14ac:dyDescent="0.3">
      <c r="D8592" s="1"/>
    </row>
    <row r="8595" spans="3:4" x14ac:dyDescent="0.3">
      <c r="C8595" s="1"/>
    </row>
    <row r="8596" spans="3:4" x14ac:dyDescent="0.3">
      <c r="C8596" s="1"/>
    </row>
    <row r="8597" spans="3:4" x14ac:dyDescent="0.3">
      <c r="C8597" s="1"/>
      <c r="D8597" s="1"/>
    </row>
    <row r="8598" spans="3:4" x14ac:dyDescent="0.3">
      <c r="C8598" s="1"/>
      <c r="D8598" s="1"/>
    </row>
    <row r="8600" spans="3:4" x14ac:dyDescent="0.3">
      <c r="D8600" s="1"/>
    </row>
    <row r="8601" spans="3:4" x14ac:dyDescent="0.3">
      <c r="D8601" s="1"/>
    </row>
    <row r="8602" spans="3:4" x14ac:dyDescent="0.3">
      <c r="D8602" s="1"/>
    </row>
    <row r="8603" spans="3:4" x14ac:dyDescent="0.3">
      <c r="D8603" s="1"/>
    </row>
    <row r="8605" spans="3:4" x14ac:dyDescent="0.3">
      <c r="C8605" s="1"/>
      <c r="D8605" s="1"/>
    </row>
    <row r="8606" spans="3:4" x14ac:dyDescent="0.3">
      <c r="C8606" s="1"/>
      <c r="D8606" s="1"/>
    </row>
    <row r="8607" spans="3:4" x14ac:dyDescent="0.3">
      <c r="C8607" s="1"/>
      <c r="D8607" s="1"/>
    </row>
    <row r="8609" spans="3:4" x14ac:dyDescent="0.3">
      <c r="C8609" s="1"/>
      <c r="D8609" s="1"/>
    </row>
    <row r="8610" spans="3:4" x14ac:dyDescent="0.3">
      <c r="C8610" s="1"/>
      <c r="D8610" s="1"/>
    </row>
    <row r="8611" spans="3:4" x14ac:dyDescent="0.3">
      <c r="C8611" s="1"/>
      <c r="D8611" s="1"/>
    </row>
    <row r="8612" spans="3:4" x14ac:dyDescent="0.3">
      <c r="C8612" s="1"/>
      <c r="D8612" s="1"/>
    </row>
    <row r="8614" spans="3:4" x14ac:dyDescent="0.3">
      <c r="D8614" s="1"/>
    </row>
    <row r="8615" spans="3:4" x14ac:dyDescent="0.3">
      <c r="C8615" s="1"/>
    </row>
    <row r="8616" spans="3:4" x14ac:dyDescent="0.3">
      <c r="C8616" s="1"/>
    </row>
    <row r="8617" spans="3:4" x14ac:dyDescent="0.3">
      <c r="C8617" s="1"/>
    </row>
    <row r="8618" spans="3:4" x14ac:dyDescent="0.3">
      <c r="C8618" s="1"/>
    </row>
    <row r="8619" spans="3:4" x14ac:dyDescent="0.3">
      <c r="C8619" s="1"/>
    </row>
    <row r="8620" spans="3:4" x14ac:dyDescent="0.3">
      <c r="C8620" s="1"/>
      <c r="D8620" s="1"/>
    </row>
    <row r="8621" spans="3:4" x14ac:dyDescent="0.3">
      <c r="C8621" s="1"/>
    </row>
    <row r="8622" spans="3:4" x14ac:dyDescent="0.3">
      <c r="C8622" s="1"/>
      <c r="D8622" s="1"/>
    </row>
    <row r="8624" spans="3:4" x14ac:dyDescent="0.3">
      <c r="D8624" s="1"/>
    </row>
    <row r="8627" spans="3:4" x14ac:dyDescent="0.3">
      <c r="C8627" s="1"/>
      <c r="D8627" s="1"/>
    </row>
    <row r="8628" spans="3:4" x14ac:dyDescent="0.3">
      <c r="C8628" s="1"/>
      <c r="D8628" s="1"/>
    </row>
    <row r="8629" spans="3:4" x14ac:dyDescent="0.3">
      <c r="C8629" s="1"/>
      <c r="D8629" s="1"/>
    </row>
    <row r="8630" spans="3:4" x14ac:dyDescent="0.3">
      <c r="C8630" s="1"/>
      <c r="D8630" s="1"/>
    </row>
    <row r="8631" spans="3:4" x14ac:dyDescent="0.3">
      <c r="C8631" s="1"/>
      <c r="D8631" s="1"/>
    </row>
    <row r="8632" spans="3:4" x14ac:dyDescent="0.3">
      <c r="C8632" s="1"/>
      <c r="D8632" s="1"/>
    </row>
    <row r="8637" spans="3:4" x14ac:dyDescent="0.3">
      <c r="D8637" s="1"/>
    </row>
    <row r="8638" spans="3:4" x14ac:dyDescent="0.3">
      <c r="D8638" s="1"/>
    </row>
    <row r="8639" spans="3:4" x14ac:dyDescent="0.3">
      <c r="D8639" s="1"/>
    </row>
    <row r="8642" spans="3:4" x14ac:dyDescent="0.3">
      <c r="C8642" s="1"/>
    </row>
    <row r="8643" spans="3:4" x14ac:dyDescent="0.3">
      <c r="C8643" s="1"/>
      <c r="D8643" s="1"/>
    </row>
    <row r="8644" spans="3:4" x14ac:dyDescent="0.3">
      <c r="C8644" s="1"/>
    </row>
    <row r="8645" spans="3:4" x14ac:dyDescent="0.3">
      <c r="C8645" s="1"/>
    </row>
    <row r="8646" spans="3:4" x14ac:dyDescent="0.3">
      <c r="C8646" s="1"/>
    </row>
    <row r="8647" spans="3:4" x14ac:dyDescent="0.3">
      <c r="C8647" s="1"/>
    </row>
    <row r="8649" spans="3:4" x14ac:dyDescent="0.3">
      <c r="C8649" s="1"/>
      <c r="D8649" s="1"/>
    </row>
    <row r="8650" spans="3:4" x14ac:dyDescent="0.3">
      <c r="D8650" s="1"/>
    </row>
    <row r="8651" spans="3:4" x14ac:dyDescent="0.3">
      <c r="D8651" s="1"/>
    </row>
    <row r="8661" spans="3:4" x14ac:dyDescent="0.3">
      <c r="C8661" s="1"/>
      <c r="D8661" s="1"/>
    </row>
    <row r="8663" spans="3:4" x14ac:dyDescent="0.3">
      <c r="C8663" s="1"/>
    </row>
    <row r="8664" spans="3:4" x14ac:dyDescent="0.3">
      <c r="C8664" s="1"/>
    </row>
    <row r="8665" spans="3:4" x14ac:dyDescent="0.3">
      <c r="C8665" s="1"/>
    </row>
    <row r="8666" spans="3:4" x14ac:dyDescent="0.3">
      <c r="D8666" s="1"/>
    </row>
    <row r="8668" spans="3:4" x14ac:dyDescent="0.3">
      <c r="D8668" s="1"/>
    </row>
    <row r="8672" spans="3:4" x14ac:dyDescent="0.3">
      <c r="D8672" s="1"/>
    </row>
    <row r="8673" spans="3:4" x14ac:dyDescent="0.3">
      <c r="D8673" s="1"/>
    </row>
    <row r="8680" spans="3:4" x14ac:dyDescent="0.3">
      <c r="C8680" s="1"/>
      <c r="D8680" s="1"/>
    </row>
    <row r="8681" spans="3:4" x14ac:dyDescent="0.3">
      <c r="C8681" s="1"/>
      <c r="D8681" s="1"/>
    </row>
    <row r="8682" spans="3:4" x14ac:dyDescent="0.3">
      <c r="C8682" s="1"/>
      <c r="D8682" s="1"/>
    </row>
    <row r="8683" spans="3:4" x14ac:dyDescent="0.3">
      <c r="C8683" s="1"/>
      <c r="D8683" s="1"/>
    </row>
    <row r="8684" spans="3:4" x14ac:dyDescent="0.3">
      <c r="C8684" s="1"/>
      <c r="D8684" s="1"/>
    </row>
    <row r="8685" spans="3:4" x14ac:dyDescent="0.3">
      <c r="D8685" s="1"/>
    </row>
    <row r="8705" spans="3:4" x14ac:dyDescent="0.3">
      <c r="C8705" s="1"/>
      <c r="D8705" s="1"/>
    </row>
    <row r="8707" spans="3:4" x14ac:dyDescent="0.3">
      <c r="C8707" s="1"/>
      <c r="D8707" s="1"/>
    </row>
    <row r="8708" spans="3:4" x14ac:dyDescent="0.3">
      <c r="C8708" s="1"/>
    </row>
    <row r="8709" spans="3:4" x14ac:dyDescent="0.3">
      <c r="C8709" s="1"/>
    </row>
    <row r="8713" spans="3:4" x14ac:dyDescent="0.3">
      <c r="C8713" s="1"/>
      <c r="D8713" s="1"/>
    </row>
    <row r="8714" spans="3:4" x14ac:dyDescent="0.3">
      <c r="C8714" s="1"/>
      <c r="D8714" s="1"/>
    </row>
    <row r="8715" spans="3:4" x14ac:dyDescent="0.3">
      <c r="C8715" s="1"/>
    </row>
    <row r="8716" spans="3:4" x14ac:dyDescent="0.3">
      <c r="C8716" s="1"/>
    </row>
    <row r="8718" spans="3:4" x14ac:dyDescent="0.3">
      <c r="C8718" s="1"/>
    </row>
    <row r="8719" spans="3:4" x14ac:dyDescent="0.3">
      <c r="C8719" s="1"/>
    </row>
    <row r="8720" spans="3:4" x14ac:dyDescent="0.3">
      <c r="C8720" s="1"/>
    </row>
    <row r="8721" spans="3:4" x14ac:dyDescent="0.3">
      <c r="C8721" s="1"/>
    </row>
    <row r="8722" spans="3:4" x14ac:dyDescent="0.3">
      <c r="C8722" s="1"/>
    </row>
    <row r="8723" spans="3:4" x14ac:dyDescent="0.3">
      <c r="C8723" s="1"/>
    </row>
    <row r="8724" spans="3:4" x14ac:dyDescent="0.3">
      <c r="C8724" s="1"/>
    </row>
    <row r="8733" spans="3:4" x14ac:dyDescent="0.3">
      <c r="D8733" s="1"/>
    </row>
    <row r="8737" spans="3:4" x14ac:dyDescent="0.3">
      <c r="C8737" s="1"/>
      <c r="D8737" s="1"/>
    </row>
    <row r="8738" spans="3:4" x14ac:dyDescent="0.3">
      <c r="C8738" s="1"/>
      <c r="D8738" s="1"/>
    </row>
    <row r="8739" spans="3:4" x14ac:dyDescent="0.3">
      <c r="C8739" s="1"/>
      <c r="D8739" s="1"/>
    </row>
    <row r="8740" spans="3:4" x14ac:dyDescent="0.3">
      <c r="C8740" s="1"/>
      <c r="D8740" s="1"/>
    </row>
    <row r="8741" spans="3:4" x14ac:dyDescent="0.3">
      <c r="C8741" s="1"/>
      <c r="D8741" s="1"/>
    </row>
    <row r="8743" spans="3:4" x14ac:dyDescent="0.3">
      <c r="C8743" s="1"/>
      <c r="D8743" s="1"/>
    </row>
    <row r="8744" spans="3:4" x14ac:dyDescent="0.3">
      <c r="C8744" s="1"/>
      <c r="D8744" s="1"/>
    </row>
    <row r="8745" spans="3:4" x14ac:dyDescent="0.3">
      <c r="C8745" s="1"/>
      <c r="D8745" s="1"/>
    </row>
    <row r="8748" spans="3:4" x14ac:dyDescent="0.3">
      <c r="C8748" s="1"/>
      <c r="D8748" s="1"/>
    </row>
    <row r="8749" spans="3:4" x14ac:dyDescent="0.3">
      <c r="C8749" s="1"/>
      <c r="D8749" s="1"/>
    </row>
    <row r="8750" spans="3:4" x14ac:dyDescent="0.3">
      <c r="C8750" s="1"/>
      <c r="D8750" s="1"/>
    </row>
    <row r="8753" spans="3:4" x14ac:dyDescent="0.3">
      <c r="C8753" s="1"/>
      <c r="D8753" s="1"/>
    </row>
    <row r="8754" spans="3:4" x14ac:dyDescent="0.3">
      <c r="C8754" s="1"/>
      <c r="D8754" s="1"/>
    </row>
    <row r="8755" spans="3:4" x14ac:dyDescent="0.3">
      <c r="C8755" s="1"/>
      <c r="D8755" s="1"/>
    </row>
    <row r="8756" spans="3:4" x14ac:dyDescent="0.3">
      <c r="C8756" s="1"/>
      <c r="D8756" s="1"/>
    </row>
    <row r="8757" spans="3:4" x14ac:dyDescent="0.3">
      <c r="C8757" s="1"/>
      <c r="D8757" s="1"/>
    </row>
    <row r="8762" spans="3:4" x14ac:dyDescent="0.3">
      <c r="D8762" s="1"/>
    </row>
    <row r="8763" spans="3:4" x14ac:dyDescent="0.3">
      <c r="D8763" s="1"/>
    </row>
    <row r="8764" spans="3:4" x14ac:dyDescent="0.3">
      <c r="D8764" s="1"/>
    </row>
    <row r="8765" spans="3:4" x14ac:dyDescent="0.3">
      <c r="D8765" s="1"/>
    </row>
    <row r="8770" spans="3:4" x14ac:dyDescent="0.3">
      <c r="C8770" s="1"/>
      <c r="D8770" s="1"/>
    </row>
    <row r="8771" spans="3:4" x14ac:dyDescent="0.3">
      <c r="C8771" s="1"/>
    </row>
    <row r="8772" spans="3:4" x14ac:dyDescent="0.3">
      <c r="C8772" s="1"/>
    </row>
    <row r="8777" spans="3:4" x14ac:dyDescent="0.3">
      <c r="C8777" s="1"/>
      <c r="D8777" s="1"/>
    </row>
    <row r="8778" spans="3:4" x14ac:dyDescent="0.3">
      <c r="C8778" s="1"/>
      <c r="D8778" s="1"/>
    </row>
    <row r="8779" spans="3:4" x14ac:dyDescent="0.3">
      <c r="C8779" s="1"/>
      <c r="D8779" s="1"/>
    </row>
    <row r="8782" spans="3:4" x14ac:dyDescent="0.3">
      <c r="C8782" s="1"/>
      <c r="D8782" s="1"/>
    </row>
    <row r="8783" spans="3:4" x14ac:dyDescent="0.3">
      <c r="C8783" s="1"/>
      <c r="D8783" s="1"/>
    </row>
    <row r="8787" spans="3:4" x14ac:dyDescent="0.3">
      <c r="D8787" s="1"/>
    </row>
    <row r="8788" spans="3:4" x14ac:dyDescent="0.3">
      <c r="D8788" s="1"/>
    </row>
    <row r="8789" spans="3:4" x14ac:dyDescent="0.3">
      <c r="D8789" s="1"/>
    </row>
    <row r="8792" spans="3:4" x14ac:dyDescent="0.3">
      <c r="C8792" s="1"/>
      <c r="D8792" s="1"/>
    </row>
    <row r="8798" spans="3:4" x14ac:dyDescent="0.3">
      <c r="C8798" s="1"/>
    </row>
    <row r="8799" spans="3:4" x14ac:dyDescent="0.3">
      <c r="C8799" s="1"/>
    </row>
    <row r="8800" spans="3:4" x14ac:dyDescent="0.3">
      <c r="C8800" s="1"/>
      <c r="D8800" s="1"/>
    </row>
    <row r="8801" spans="3:4" x14ac:dyDescent="0.3">
      <c r="C8801" s="1"/>
      <c r="D8801" s="1"/>
    </row>
    <row r="8803" spans="3:4" x14ac:dyDescent="0.3">
      <c r="C8803" s="1"/>
      <c r="D8803" s="1"/>
    </row>
    <row r="8804" spans="3:4" x14ac:dyDescent="0.3">
      <c r="C8804" s="1"/>
      <c r="D8804" s="1"/>
    </row>
    <row r="8805" spans="3:4" x14ac:dyDescent="0.3">
      <c r="D8805" s="1"/>
    </row>
    <row r="8806" spans="3:4" x14ac:dyDescent="0.3">
      <c r="D8806" s="1"/>
    </row>
    <row r="8808" spans="3:4" x14ac:dyDescent="0.3">
      <c r="C8808" s="1"/>
    </row>
    <row r="8812" spans="3:4" x14ac:dyDescent="0.3">
      <c r="D8812" s="1"/>
    </row>
    <row r="8813" spans="3:4" x14ac:dyDescent="0.3">
      <c r="C8813" s="1"/>
    </row>
    <row r="8814" spans="3:4" x14ac:dyDescent="0.3">
      <c r="C8814" s="1"/>
    </row>
    <row r="8821" spans="3:4" x14ac:dyDescent="0.3">
      <c r="D8821" s="1"/>
    </row>
    <row r="8822" spans="3:4" x14ac:dyDescent="0.3">
      <c r="C8822" s="1"/>
      <c r="D8822" s="1"/>
    </row>
    <row r="8823" spans="3:4" x14ac:dyDescent="0.3">
      <c r="C8823" s="1"/>
      <c r="D8823" s="1"/>
    </row>
    <row r="8824" spans="3:4" x14ac:dyDescent="0.3">
      <c r="C8824" s="1"/>
      <c r="D8824" s="1"/>
    </row>
    <row r="8825" spans="3:4" x14ac:dyDescent="0.3">
      <c r="C8825" s="1"/>
      <c r="D8825" s="1"/>
    </row>
    <row r="8828" spans="3:4" x14ac:dyDescent="0.3">
      <c r="C8828" s="1"/>
      <c r="D8828" s="1"/>
    </row>
    <row r="8829" spans="3:4" x14ac:dyDescent="0.3">
      <c r="C8829" s="1"/>
      <c r="D8829" s="1"/>
    </row>
    <row r="8830" spans="3:4" x14ac:dyDescent="0.3">
      <c r="C8830" s="1"/>
      <c r="D8830" s="1"/>
    </row>
    <row r="8831" spans="3:4" x14ac:dyDescent="0.3">
      <c r="C8831" s="1"/>
      <c r="D8831" s="1"/>
    </row>
    <row r="8840" spans="3:4" x14ac:dyDescent="0.3">
      <c r="C8840" s="1"/>
      <c r="D8840" s="1"/>
    </row>
    <row r="8841" spans="3:4" x14ac:dyDescent="0.3">
      <c r="C8841" s="1"/>
      <c r="D8841" s="1"/>
    </row>
    <row r="8842" spans="3:4" x14ac:dyDescent="0.3">
      <c r="C8842" s="1"/>
      <c r="D8842" s="1"/>
    </row>
    <row r="8843" spans="3:4" x14ac:dyDescent="0.3">
      <c r="C8843" s="1"/>
    </row>
    <row r="8844" spans="3:4" x14ac:dyDescent="0.3">
      <c r="C8844" s="1"/>
    </row>
    <row r="8850" spans="3:4" x14ac:dyDescent="0.3">
      <c r="C8850" s="1"/>
      <c r="D8850" s="1"/>
    </row>
    <row r="8851" spans="3:4" x14ac:dyDescent="0.3">
      <c r="C8851" s="1"/>
      <c r="D8851" s="1"/>
    </row>
    <row r="8852" spans="3:4" x14ac:dyDescent="0.3">
      <c r="C8852" s="1"/>
      <c r="D8852" s="1"/>
    </row>
    <row r="8853" spans="3:4" x14ac:dyDescent="0.3">
      <c r="C8853" s="1"/>
      <c r="D8853" s="1"/>
    </row>
    <row r="8854" spans="3:4" x14ac:dyDescent="0.3">
      <c r="C8854" s="1"/>
    </row>
    <row r="8862" spans="3:4" x14ac:dyDescent="0.3">
      <c r="C8862" s="1"/>
    </row>
    <row r="8863" spans="3:4" x14ac:dyDescent="0.3">
      <c r="C8863" s="1"/>
    </row>
    <row r="8864" spans="3:4" x14ac:dyDescent="0.3">
      <c r="C8864" s="1"/>
    </row>
    <row r="8865" spans="3:4" x14ac:dyDescent="0.3">
      <c r="C8865" s="1"/>
    </row>
    <row r="8866" spans="3:4" x14ac:dyDescent="0.3">
      <c r="C8866" s="1"/>
    </row>
    <row r="8870" spans="3:4" x14ac:dyDescent="0.3">
      <c r="C8870" s="1"/>
      <c r="D8870" s="1"/>
    </row>
    <row r="8871" spans="3:4" x14ac:dyDescent="0.3">
      <c r="C8871" s="1"/>
      <c r="D8871" s="1"/>
    </row>
    <row r="8872" spans="3:4" x14ac:dyDescent="0.3">
      <c r="C8872" s="1"/>
      <c r="D8872" s="1"/>
    </row>
    <row r="8873" spans="3:4" x14ac:dyDescent="0.3">
      <c r="C8873" s="1"/>
      <c r="D8873" s="1"/>
    </row>
    <row r="8874" spans="3:4" x14ac:dyDescent="0.3">
      <c r="C8874" s="1"/>
      <c r="D8874" s="1"/>
    </row>
    <row r="8875" spans="3:4" x14ac:dyDescent="0.3">
      <c r="C8875" s="1"/>
      <c r="D8875" s="1"/>
    </row>
    <row r="8883" spans="3:4" x14ac:dyDescent="0.3">
      <c r="D8883" s="1"/>
    </row>
    <row r="8890" spans="3:4" x14ac:dyDescent="0.3">
      <c r="C8890" s="1"/>
      <c r="D8890" s="1"/>
    </row>
    <row r="8894" spans="3:4" x14ac:dyDescent="0.3">
      <c r="C8894" s="1"/>
      <c r="D8894" s="1"/>
    </row>
    <row r="8895" spans="3:4" x14ac:dyDescent="0.3">
      <c r="C8895" s="1"/>
      <c r="D8895" s="1"/>
    </row>
    <row r="8900" spans="3:4" x14ac:dyDescent="0.3">
      <c r="C8900" s="1"/>
      <c r="D8900" s="1"/>
    </row>
    <row r="8901" spans="3:4" x14ac:dyDescent="0.3">
      <c r="C8901" s="1"/>
      <c r="D8901" s="1"/>
    </row>
    <row r="8902" spans="3:4" x14ac:dyDescent="0.3">
      <c r="D8902" s="1"/>
    </row>
    <row r="8903" spans="3:4" x14ac:dyDescent="0.3">
      <c r="D8903" s="1"/>
    </row>
    <row r="8904" spans="3:4" x14ac:dyDescent="0.3">
      <c r="D8904" s="1"/>
    </row>
    <row r="8905" spans="3:4" x14ac:dyDescent="0.3">
      <c r="D8905" s="1"/>
    </row>
    <row r="8906" spans="3:4" x14ac:dyDescent="0.3">
      <c r="C8906" s="1"/>
      <c r="D8906" s="1"/>
    </row>
    <row r="8907" spans="3:4" x14ac:dyDescent="0.3">
      <c r="C8907" s="1"/>
      <c r="D8907" s="1"/>
    </row>
    <row r="8908" spans="3:4" x14ac:dyDescent="0.3">
      <c r="C8908" s="1"/>
      <c r="D8908" s="1"/>
    </row>
    <row r="8910" spans="3:4" x14ac:dyDescent="0.3">
      <c r="D8910" s="1"/>
    </row>
    <row r="8911" spans="3:4" x14ac:dyDescent="0.3">
      <c r="D8911" s="1"/>
    </row>
    <row r="8912" spans="3:4" x14ac:dyDescent="0.3">
      <c r="C8912" s="1"/>
      <c r="D8912" s="1"/>
    </row>
    <row r="8913" spans="3:4" x14ac:dyDescent="0.3">
      <c r="C8913" s="1"/>
      <c r="D8913" s="1"/>
    </row>
    <row r="8914" spans="3:4" x14ac:dyDescent="0.3">
      <c r="C8914" s="1"/>
      <c r="D8914" s="1"/>
    </row>
    <row r="8915" spans="3:4" x14ac:dyDescent="0.3">
      <c r="C8915" s="1"/>
      <c r="D8915" s="1"/>
    </row>
    <row r="8916" spans="3:4" x14ac:dyDescent="0.3">
      <c r="C8916" s="1"/>
    </row>
    <row r="8917" spans="3:4" x14ac:dyDescent="0.3">
      <c r="C8917" s="1"/>
    </row>
    <row r="8918" spans="3:4" x14ac:dyDescent="0.3">
      <c r="C8918" s="1"/>
    </row>
    <row r="8919" spans="3:4" x14ac:dyDescent="0.3">
      <c r="C8919" s="1"/>
    </row>
    <row r="8920" spans="3:4" x14ac:dyDescent="0.3">
      <c r="C8920" s="1"/>
    </row>
    <row r="8921" spans="3:4" x14ac:dyDescent="0.3">
      <c r="C8921" s="1"/>
      <c r="D8921" s="1"/>
    </row>
    <row r="8922" spans="3:4" x14ac:dyDescent="0.3">
      <c r="D8922" s="1"/>
    </row>
    <row r="8923" spans="3:4" x14ac:dyDescent="0.3">
      <c r="C8923" s="1"/>
      <c r="D8923" s="1"/>
    </row>
    <row r="8924" spans="3:4" x14ac:dyDescent="0.3">
      <c r="C8924" s="1"/>
      <c r="D8924" s="1"/>
    </row>
    <row r="8925" spans="3:4" x14ac:dyDescent="0.3">
      <c r="C8925" s="1"/>
    </row>
    <row r="8926" spans="3:4" x14ac:dyDescent="0.3">
      <c r="D8926" s="1"/>
    </row>
    <row r="8927" spans="3:4" x14ac:dyDescent="0.3">
      <c r="D8927" s="1"/>
    </row>
    <row r="8928" spans="3:4" x14ac:dyDescent="0.3">
      <c r="D8928" s="1"/>
    </row>
    <row r="8943" spans="3:4" x14ac:dyDescent="0.3">
      <c r="C8943" s="1"/>
      <c r="D8943" s="1"/>
    </row>
    <row r="8944" spans="3:4" x14ac:dyDescent="0.3">
      <c r="C8944" s="1"/>
      <c r="D8944" s="1"/>
    </row>
    <row r="8945" spans="3:4" x14ac:dyDescent="0.3">
      <c r="C8945" s="1"/>
    </row>
    <row r="8946" spans="3:4" x14ac:dyDescent="0.3">
      <c r="C8946" s="1"/>
      <c r="D8946" s="1"/>
    </row>
    <row r="8956" spans="3:4" x14ac:dyDescent="0.3">
      <c r="C8956" s="1"/>
      <c r="D8956" s="1"/>
    </row>
    <row r="8964" spans="3:4" x14ac:dyDescent="0.3">
      <c r="C8964" s="1"/>
      <c r="D8964" s="1"/>
    </row>
    <row r="8965" spans="3:4" x14ac:dyDescent="0.3">
      <c r="C8965" s="1"/>
      <c r="D8965" s="1"/>
    </row>
    <row r="8966" spans="3:4" x14ac:dyDescent="0.3">
      <c r="C8966" s="1"/>
      <c r="D8966" s="1"/>
    </row>
    <row r="8967" spans="3:4" x14ac:dyDescent="0.3">
      <c r="C8967" s="1"/>
      <c r="D8967" s="1"/>
    </row>
    <row r="8968" spans="3:4" x14ac:dyDescent="0.3">
      <c r="C8968" s="1"/>
      <c r="D8968" s="1"/>
    </row>
    <row r="8969" spans="3:4" x14ac:dyDescent="0.3">
      <c r="C8969" s="1"/>
      <c r="D8969" s="1"/>
    </row>
    <row r="8970" spans="3:4" x14ac:dyDescent="0.3">
      <c r="D8970" s="1"/>
    </row>
    <row r="8971" spans="3:4" x14ac:dyDescent="0.3">
      <c r="C8971" s="1"/>
      <c r="D8971" s="1"/>
    </row>
    <row r="8972" spans="3:4" x14ac:dyDescent="0.3">
      <c r="C8972" s="1"/>
      <c r="D8972" s="1"/>
    </row>
    <row r="8980" spans="3:4" x14ac:dyDescent="0.3">
      <c r="C8980" s="1"/>
      <c r="D8980" s="1"/>
    </row>
    <row r="8982" spans="3:4" x14ac:dyDescent="0.3">
      <c r="C8982" s="1"/>
      <c r="D8982" s="1"/>
    </row>
    <row r="8983" spans="3:4" x14ac:dyDescent="0.3">
      <c r="C8983" s="1"/>
      <c r="D8983" s="1"/>
    </row>
    <row r="8984" spans="3:4" x14ac:dyDescent="0.3">
      <c r="C8984" s="1"/>
      <c r="D8984" s="1"/>
    </row>
    <row r="8985" spans="3:4" x14ac:dyDescent="0.3">
      <c r="C8985" s="1"/>
      <c r="D8985" s="1"/>
    </row>
    <row r="8986" spans="3:4" x14ac:dyDescent="0.3">
      <c r="C8986" s="1"/>
      <c r="D8986" s="1"/>
    </row>
    <row r="8987" spans="3:4" x14ac:dyDescent="0.3">
      <c r="C8987" s="1"/>
      <c r="D8987" s="1"/>
    </row>
    <row r="8988" spans="3:4" x14ac:dyDescent="0.3">
      <c r="C8988" s="1"/>
      <c r="D8988" s="1"/>
    </row>
    <row r="8989" spans="3:4" x14ac:dyDescent="0.3">
      <c r="C8989" s="1"/>
      <c r="D8989" s="1"/>
    </row>
    <row r="8990" spans="3:4" x14ac:dyDescent="0.3">
      <c r="C8990" s="1"/>
      <c r="D8990" s="1"/>
    </row>
    <row r="8993" spans="3:4" x14ac:dyDescent="0.3">
      <c r="C8993" s="1"/>
      <c r="D8993" s="1"/>
    </row>
    <row r="8998" spans="3:4" x14ac:dyDescent="0.3">
      <c r="C8998" s="1"/>
    </row>
    <row r="9003" spans="3:4" x14ac:dyDescent="0.3">
      <c r="C9003" s="1"/>
      <c r="D9003" s="1"/>
    </row>
    <row r="9004" spans="3:4" x14ac:dyDescent="0.3">
      <c r="C9004" s="1"/>
      <c r="D9004" s="1"/>
    </row>
    <row r="9005" spans="3:4" x14ac:dyDescent="0.3">
      <c r="C9005" s="1"/>
      <c r="D9005" s="1"/>
    </row>
    <row r="9006" spans="3:4" x14ac:dyDescent="0.3">
      <c r="C9006" s="1"/>
      <c r="D9006" s="1"/>
    </row>
    <row r="9011" spans="3:3" x14ac:dyDescent="0.3">
      <c r="C9011" s="1"/>
    </row>
    <row r="9025" spans="3:4" x14ac:dyDescent="0.3">
      <c r="D9025" s="1"/>
    </row>
    <row r="9026" spans="3:4" x14ac:dyDescent="0.3">
      <c r="D9026" s="1"/>
    </row>
    <row r="9027" spans="3:4" x14ac:dyDescent="0.3">
      <c r="D9027" s="1"/>
    </row>
    <row r="9028" spans="3:4" x14ac:dyDescent="0.3">
      <c r="D9028" s="1"/>
    </row>
    <row r="9032" spans="3:4" x14ac:dyDescent="0.3">
      <c r="C9032" s="1"/>
      <c r="D9032" s="1"/>
    </row>
    <row r="9033" spans="3:4" x14ac:dyDescent="0.3">
      <c r="C9033" s="1"/>
      <c r="D9033" s="1"/>
    </row>
    <row r="9035" spans="3:4" x14ac:dyDescent="0.3">
      <c r="C9035" s="1"/>
      <c r="D9035" s="1"/>
    </row>
    <row r="9036" spans="3:4" x14ac:dyDescent="0.3">
      <c r="C9036" s="1"/>
      <c r="D9036" s="1"/>
    </row>
    <row r="9037" spans="3:4" x14ac:dyDescent="0.3">
      <c r="C9037" s="1"/>
      <c r="D9037" s="1"/>
    </row>
    <row r="9038" spans="3:4" x14ac:dyDescent="0.3">
      <c r="C9038" s="1"/>
      <c r="D9038" s="1"/>
    </row>
    <row r="9039" spans="3:4" x14ac:dyDescent="0.3">
      <c r="C9039" s="1"/>
      <c r="D9039" s="1"/>
    </row>
    <row r="9043" spans="3:4" x14ac:dyDescent="0.3">
      <c r="D9043" s="1"/>
    </row>
    <row r="9045" spans="3:4" x14ac:dyDescent="0.3">
      <c r="C9045" s="1"/>
    </row>
    <row r="9057" spans="3:4" x14ac:dyDescent="0.3">
      <c r="C9057" s="1"/>
    </row>
    <row r="9058" spans="3:4" x14ac:dyDescent="0.3">
      <c r="C9058" s="1"/>
      <c r="D9058" s="1"/>
    </row>
    <row r="9064" spans="3:4" x14ac:dyDescent="0.3">
      <c r="D9064" s="1"/>
    </row>
    <row r="9069" spans="3:4" x14ac:dyDescent="0.3">
      <c r="C9069" s="1"/>
      <c r="D9069" s="1"/>
    </row>
    <row r="9070" spans="3:4" x14ac:dyDescent="0.3">
      <c r="C9070" s="1"/>
      <c r="D9070" s="1"/>
    </row>
    <row r="9071" spans="3:4" x14ac:dyDescent="0.3">
      <c r="C9071" s="1"/>
      <c r="D9071" s="1"/>
    </row>
    <row r="9072" spans="3:4" x14ac:dyDescent="0.3">
      <c r="C9072" s="1"/>
      <c r="D9072" s="1"/>
    </row>
    <row r="9073" spans="3:4" x14ac:dyDescent="0.3">
      <c r="C9073" s="1"/>
    </row>
    <row r="9074" spans="3:4" x14ac:dyDescent="0.3">
      <c r="C9074" s="1"/>
      <c r="D9074" s="1"/>
    </row>
    <row r="9075" spans="3:4" x14ac:dyDescent="0.3">
      <c r="C9075" s="1"/>
      <c r="D9075" s="1"/>
    </row>
    <row r="9077" spans="3:4" x14ac:dyDescent="0.3">
      <c r="C9077" s="1"/>
      <c r="D9077" s="1"/>
    </row>
    <row r="9078" spans="3:4" x14ac:dyDescent="0.3">
      <c r="C9078" s="1"/>
      <c r="D9078" s="1"/>
    </row>
    <row r="9079" spans="3:4" x14ac:dyDescent="0.3">
      <c r="C9079" s="1"/>
      <c r="D9079" s="1"/>
    </row>
    <row r="9082" spans="3:4" x14ac:dyDescent="0.3">
      <c r="C9082" s="1"/>
    </row>
    <row r="9083" spans="3:4" x14ac:dyDescent="0.3">
      <c r="C9083" s="1"/>
    </row>
    <row r="9084" spans="3:4" x14ac:dyDescent="0.3">
      <c r="C9084" s="1"/>
      <c r="D9084" s="1"/>
    </row>
    <row r="9085" spans="3:4" x14ac:dyDescent="0.3">
      <c r="C9085" s="1"/>
      <c r="D9085" s="1"/>
    </row>
    <row r="9086" spans="3:4" x14ac:dyDescent="0.3">
      <c r="C9086" s="1"/>
      <c r="D9086" s="1"/>
    </row>
    <row r="9087" spans="3:4" x14ac:dyDescent="0.3">
      <c r="C9087" s="1"/>
      <c r="D9087" s="1"/>
    </row>
    <row r="9093" spans="3:4" x14ac:dyDescent="0.3">
      <c r="D9093" s="1"/>
    </row>
    <row r="9094" spans="3:4" x14ac:dyDescent="0.3">
      <c r="D9094" s="1"/>
    </row>
    <row r="9095" spans="3:4" x14ac:dyDescent="0.3">
      <c r="C9095" s="1"/>
      <c r="D9095" s="1"/>
    </row>
    <row r="9096" spans="3:4" x14ac:dyDescent="0.3">
      <c r="C9096" s="1"/>
      <c r="D9096" s="1"/>
    </row>
    <row r="9097" spans="3:4" x14ac:dyDescent="0.3">
      <c r="C9097" s="1"/>
      <c r="D9097" s="1"/>
    </row>
    <row r="9098" spans="3:4" x14ac:dyDescent="0.3">
      <c r="C9098" s="1"/>
      <c r="D9098" s="1"/>
    </row>
    <row r="9099" spans="3:4" x14ac:dyDescent="0.3">
      <c r="C9099" s="1"/>
    </row>
    <row r="9100" spans="3:4" x14ac:dyDescent="0.3">
      <c r="C9100" s="1"/>
    </row>
    <row r="9101" spans="3:4" x14ac:dyDescent="0.3">
      <c r="C9101" s="1"/>
    </row>
    <row r="9102" spans="3:4" x14ac:dyDescent="0.3">
      <c r="C9102" s="1"/>
    </row>
    <row r="9103" spans="3:4" x14ac:dyDescent="0.3">
      <c r="C9103" s="1"/>
      <c r="D9103" s="1"/>
    </row>
    <row r="9104" spans="3:4" x14ac:dyDescent="0.3">
      <c r="C9104" s="1"/>
      <c r="D9104" s="1"/>
    </row>
    <row r="9105" spans="3:4" x14ac:dyDescent="0.3">
      <c r="C9105" s="1"/>
      <c r="D9105" s="1"/>
    </row>
    <row r="9106" spans="3:4" x14ac:dyDescent="0.3">
      <c r="C9106" s="1"/>
      <c r="D9106" s="1"/>
    </row>
    <row r="9107" spans="3:4" x14ac:dyDescent="0.3">
      <c r="C9107" s="1"/>
      <c r="D9107" s="1"/>
    </row>
    <row r="9108" spans="3:4" x14ac:dyDescent="0.3">
      <c r="C9108" s="1"/>
      <c r="D9108" s="1"/>
    </row>
    <row r="9116" spans="3:4" x14ac:dyDescent="0.3">
      <c r="C9116" s="1"/>
      <c r="D9116" s="1"/>
    </row>
    <row r="9121" spans="3:4" x14ac:dyDescent="0.3">
      <c r="C9121" s="1"/>
      <c r="D9121" s="1"/>
    </row>
    <row r="9122" spans="3:4" x14ac:dyDescent="0.3">
      <c r="C9122" s="1"/>
      <c r="D9122" s="1"/>
    </row>
    <row r="9128" spans="3:4" x14ac:dyDescent="0.3">
      <c r="D9128" s="1"/>
    </row>
    <row r="9129" spans="3:4" x14ac:dyDescent="0.3">
      <c r="D9129" s="1"/>
    </row>
    <row r="9130" spans="3:4" x14ac:dyDescent="0.3">
      <c r="C9130" s="1"/>
      <c r="D9130" s="1"/>
    </row>
    <row r="9133" spans="3:4" x14ac:dyDescent="0.3">
      <c r="D9133" s="1"/>
    </row>
    <row r="9134" spans="3:4" x14ac:dyDescent="0.3">
      <c r="D9134" s="1"/>
    </row>
    <row r="9135" spans="3:4" x14ac:dyDescent="0.3">
      <c r="D9135" s="1"/>
    </row>
    <row r="9136" spans="3:4" x14ac:dyDescent="0.3">
      <c r="C9136" s="1"/>
    </row>
    <row r="9137" spans="3:4" x14ac:dyDescent="0.3">
      <c r="C9137" s="1"/>
    </row>
    <row r="9138" spans="3:4" x14ac:dyDescent="0.3">
      <c r="C9138" s="1"/>
    </row>
    <row r="9139" spans="3:4" x14ac:dyDescent="0.3">
      <c r="C9139" s="1"/>
      <c r="D9139" s="1"/>
    </row>
    <row r="9140" spans="3:4" x14ac:dyDescent="0.3">
      <c r="C9140" s="1"/>
      <c r="D9140" s="1"/>
    </row>
    <row r="9141" spans="3:4" x14ac:dyDescent="0.3">
      <c r="C9141" s="1"/>
      <c r="D9141" s="1"/>
    </row>
    <row r="9142" spans="3:4" x14ac:dyDescent="0.3">
      <c r="D9142" s="1"/>
    </row>
    <row r="9143" spans="3:4" x14ac:dyDescent="0.3">
      <c r="C9143" s="1"/>
      <c r="D9143" s="1"/>
    </row>
    <row r="9151" spans="3:4" x14ac:dyDescent="0.3">
      <c r="C9151" s="1"/>
      <c r="D9151" s="1"/>
    </row>
    <row r="9152" spans="3:4" x14ac:dyDescent="0.3">
      <c r="C9152" s="1"/>
      <c r="D9152" s="1"/>
    </row>
    <row r="9156" spans="3:4" x14ac:dyDescent="0.3">
      <c r="C9156" s="1"/>
      <c r="D9156" s="1"/>
    </row>
    <row r="9158" spans="3:4" x14ac:dyDescent="0.3">
      <c r="C9158" s="1"/>
      <c r="D9158" s="1"/>
    </row>
    <row r="9159" spans="3:4" x14ac:dyDescent="0.3">
      <c r="C9159" s="1"/>
      <c r="D9159" s="1"/>
    </row>
    <row r="9160" spans="3:4" x14ac:dyDescent="0.3">
      <c r="C9160" s="1"/>
      <c r="D9160" s="1"/>
    </row>
    <row r="9161" spans="3:4" x14ac:dyDescent="0.3">
      <c r="C9161" s="1"/>
    </row>
    <row r="9162" spans="3:4" x14ac:dyDescent="0.3">
      <c r="C9162" s="1"/>
    </row>
    <row r="9163" spans="3:4" x14ac:dyDescent="0.3">
      <c r="C9163" s="1"/>
      <c r="D9163" s="1"/>
    </row>
    <row r="9164" spans="3:4" x14ac:dyDescent="0.3">
      <c r="C9164" s="1"/>
      <c r="D9164" s="1"/>
    </row>
    <row r="9165" spans="3:4" x14ac:dyDescent="0.3">
      <c r="C9165" s="1"/>
      <c r="D9165" s="1"/>
    </row>
    <row r="9166" spans="3:4" x14ac:dyDescent="0.3">
      <c r="C9166" s="1"/>
      <c r="D9166" s="1"/>
    </row>
    <row r="9172" spans="3:4" x14ac:dyDescent="0.3">
      <c r="C9172" s="1"/>
      <c r="D9172" s="1"/>
    </row>
    <row r="9173" spans="3:4" x14ac:dyDescent="0.3">
      <c r="C9173" s="1"/>
      <c r="D9173" s="1"/>
    </row>
    <row r="9174" spans="3:4" x14ac:dyDescent="0.3">
      <c r="C9174" s="1"/>
      <c r="D9174" s="1"/>
    </row>
    <row r="9175" spans="3:4" x14ac:dyDescent="0.3">
      <c r="C9175" s="1"/>
      <c r="D9175" s="1"/>
    </row>
    <row r="9176" spans="3:4" x14ac:dyDescent="0.3">
      <c r="C9176" s="1"/>
    </row>
    <row r="9177" spans="3:4" x14ac:dyDescent="0.3">
      <c r="C9177" s="1"/>
    </row>
    <row r="9181" spans="3:4" x14ac:dyDescent="0.3">
      <c r="C9181" s="1"/>
      <c r="D9181" s="1"/>
    </row>
    <row r="9182" spans="3:4" x14ac:dyDescent="0.3">
      <c r="C9182" s="1"/>
      <c r="D9182" s="1"/>
    </row>
    <row r="9183" spans="3:4" x14ac:dyDescent="0.3">
      <c r="C9183" s="1"/>
      <c r="D9183" s="1"/>
    </row>
    <row r="9184" spans="3:4" x14ac:dyDescent="0.3">
      <c r="C9184" s="1"/>
      <c r="D9184" s="1"/>
    </row>
    <row r="9185" spans="3:4" x14ac:dyDescent="0.3">
      <c r="C9185" s="1"/>
      <c r="D9185" s="1"/>
    </row>
    <row r="9186" spans="3:4" x14ac:dyDescent="0.3">
      <c r="C9186" s="1"/>
      <c r="D9186" s="1"/>
    </row>
    <row r="9187" spans="3:4" x14ac:dyDescent="0.3">
      <c r="C9187" s="1"/>
      <c r="D9187" s="1"/>
    </row>
    <row r="9188" spans="3:4" x14ac:dyDescent="0.3">
      <c r="C9188" s="1"/>
      <c r="D9188" s="1"/>
    </row>
    <row r="9194" spans="3:4" x14ac:dyDescent="0.3">
      <c r="C9194" s="1"/>
      <c r="D9194" s="1"/>
    </row>
    <row r="9195" spans="3:4" x14ac:dyDescent="0.3">
      <c r="C9195" s="1"/>
      <c r="D9195" s="1"/>
    </row>
    <row r="9196" spans="3:4" x14ac:dyDescent="0.3">
      <c r="D9196" s="1"/>
    </row>
    <row r="9197" spans="3:4" x14ac:dyDescent="0.3">
      <c r="D9197" s="1"/>
    </row>
    <row r="9198" spans="3:4" x14ac:dyDescent="0.3">
      <c r="C9198" s="1"/>
    </row>
    <row r="9199" spans="3:4" x14ac:dyDescent="0.3">
      <c r="C9199" s="1"/>
    </row>
    <row r="9200" spans="3:4" x14ac:dyDescent="0.3">
      <c r="C9200" s="1"/>
    </row>
    <row r="9201" spans="3:4" x14ac:dyDescent="0.3">
      <c r="C9201" s="1"/>
    </row>
    <row r="9204" spans="3:4" x14ac:dyDescent="0.3">
      <c r="D9204" s="1"/>
    </row>
    <row r="9205" spans="3:4" x14ac:dyDescent="0.3">
      <c r="D9205" s="1"/>
    </row>
    <row r="9206" spans="3:4" x14ac:dyDescent="0.3">
      <c r="C9206" s="1"/>
      <c r="D9206" s="1"/>
    </row>
    <row r="9209" spans="3:4" x14ac:dyDescent="0.3">
      <c r="C9209" s="1"/>
      <c r="D9209" s="1"/>
    </row>
    <row r="9210" spans="3:4" x14ac:dyDescent="0.3">
      <c r="C9210" s="1"/>
      <c r="D9210" s="1"/>
    </row>
    <row r="9211" spans="3:4" x14ac:dyDescent="0.3">
      <c r="C9211" s="1"/>
    </row>
    <row r="9212" spans="3:4" x14ac:dyDescent="0.3">
      <c r="C9212" s="1"/>
    </row>
    <row r="9214" spans="3:4" x14ac:dyDescent="0.3">
      <c r="C9214" s="1"/>
    </row>
    <row r="9215" spans="3:4" x14ac:dyDescent="0.3">
      <c r="C9215" s="1"/>
    </row>
    <row r="9216" spans="3:4" x14ac:dyDescent="0.3">
      <c r="D9216" s="1"/>
    </row>
    <row r="9225" spans="3:4" x14ac:dyDescent="0.3">
      <c r="C9225" s="1"/>
      <c r="D9225" s="1"/>
    </row>
    <row r="9226" spans="3:4" x14ac:dyDescent="0.3">
      <c r="C9226" s="1"/>
      <c r="D9226" s="1"/>
    </row>
    <row r="9227" spans="3:4" x14ac:dyDescent="0.3">
      <c r="C9227" s="1"/>
      <c r="D9227" s="1"/>
    </row>
    <row r="9228" spans="3:4" x14ac:dyDescent="0.3">
      <c r="C9228" s="1"/>
      <c r="D9228" s="1"/>
    </row>
    <row r="9230" spans="3:4" x14ac:dyDescent="0.3">
      <c r="C9230" s="1"/>
      <c r="D9230" s="1"/>
    </row>
    <row r="9234" spans="3:4" x14ac:dyDescent="0.3">
      <c r="C9234" s="1"/>
      <c r="D9234" s="1"/>
    </row>
    <row r="9235" spans="3:4" x14ac:dyDescent="0.3">
      <c r="C9235" s="1"/>
      <c r="D9235" s="1"/>
    </row>
    <row r="9236" spans="3:4" x14ac:dyDescent="0.3">
      <c r="C9236" s="1"/>
      <c r="D9236" s="1"/>
    </row>
    <row r="9237" spans="3:4" x14ac:dyDescent="0.3">
      <c r="C9237" s="1"/>
      <c r="D9237" s="1"/>
    </row>
    <row r="9238" spans="3:4" x14ac:dyDescent="0.3">
      <c r="C9238" s="1"/>
      <c r="D9238" s="1"/>
    </row>
    <row r="9239" spans="3:4" x14ac:dyDescent="0.3">
      <c r="C9239" s="1"/>
      <c r="D9239" s="1"/>
    </row>
    <row r="9240" spans="3:4" x14ac:dyDescent="0.3">
      <c r="C9240" s="1"/>
    </row>
    <row r="9241" spans="3:4" x14ac:dyDescent="0.3">
      <c r="D9241" s="1"/>
    </row>
    <row r="9242" spans="3:4" x14ac:dyDescent="0.3">
      <c r="D9242" s="1"/>
    </row>
    <row r="9243" spans="3:4" x14ac:dyDescent="0.3">
      <c r="D9243" s="1"/>
    </row>
    <row r="9244" spans="3:4" x14ac:dyDescent="0.3">
      <c r="C9244" s="1"/>
    </row>
    <row r="9245" spans="3:4" x14ac:dyDescent="0.3">
      <c r="C9245" s="1"/>
    </row>
    <row r="9246" spans="3:4" x14ac:dyDescent="0.3">
      <c r="C9246" s="1"/>
    </row>
    <row r="9247" spans="3:4" x14ac:dyDescent="0.3">
      <c r="C9247" s="1"/>
    </row>
    <row r="9250" spans="3:4" x14ac:dyDescent="0.3">
      <c r="C9250" s="1"/>
    </row>
    <row r="9251" spans="3:4" x14ac:dyDescent="0.3">
      <c r="C9251" s="1"/>
    </row>
    <row r="9252" spans="3:4" x14ac:dyDescent="0.3">
      <c r="C9252" s="1"/>
      <c r="D9252" s="1"/>
    </row>
    <row r="9253" spans="3:4" x14ac:dyDescent="0.3">
      <c r="C9253" s="1"/>
      <c r="D9253" s="1"/>
    </row>
    <row r="9256" spans="3:4" x14ac:dyDescent="0.3">
      <c r="C9256" s="1"/>
    </row>
    <row r="9257" spans="3:4" x14ac:dyDescent="0.3">
      <c r="C9257" s="1"/>
    </row>
    <row r="9258" spans="3:4" x14ac:dyDescent="0.3">
      <c r="C9258" s="1"/>
    </row>
    <row r="9259" spans="3:4" x14ac:dyDescent="0.3">
      <c r="C9259" s="1"/>
    </row>
    <row r="9260" spans="3:4" x14ac:dyDescent="0.3">
      <c r="C9260" s="1"/>
    </row>
    <row r="9261" spans="3:4" x14ac:dyDescent="0.3">
      <c r="C9261" s="1"/>
    </row>
    <row r="9262" spans="3:4" x14ac:dyDescent="0.3">
      <c r="C9262" s="1"/>
    </row>
    <row r="9263" spans="3:4" x14ac:dyDescent="0.3">
      <c r="C9263" s="1"/>
      <c r="D9263" s="1"/>
    </row>
    <row r="9264" spans="3:4" x14ac:dyDescent="0.3">
      <c r="C9264" s="1"/>
    </row>
    <row r="9265" spans="3:4" x14ac:dyDescent="0.3">
      <c r="C9265" s="1"/>
    </row>
    <row r="9266" spans="3:4" x14ac:dyDescent="0.3">
      <c r="D9266" s="1"/>
    </row>
    <row r="9267" spans="3:4" x14ac:dyDescent="0.3">
      <c r="D9267" s="1"/>
    </row>
    <row r="9268" spans="3:4" x14ac:dyDescent="0.3">
      <c r="C9268" s="1"/>
      <c r="D9268" s="1"/>
    </row>
    <row r="9273" spans="3:4" x14ac:dyDescent="0.3">
      <c r="C9273" s="1"/>
    </row>
    <row r="9274" spans="3:4" x14ac:dyDescent="0.3">
      <c r="C9274" s="1"/>
    </row>
    <row r="9275" spans="3:4" x14ac:dyDescent="0.3">
      <c r="C9275" s="1"/>
      <c r="D9275" s="1"/>
    </row>
    <row r="9276" spans="3:4" x14ac:dyDescent="0.3">
      <c r="C9276" s="1"/>
      <c r="D9276" s="1"/>
    </row>
    <row r="9279" spans="3:4" x14ac:dyDescent="0.3">
      <c r="C9279" s="1"/>
      <c r="D9279" s="1"/>
    </row>
    <row r="9280" spans="3:4" x14ac:dyDescent="0.3">
      <c r="C9280" s="1"/>
      <c r="D9280" s="1"/>
    </row>
    <row r="9281" spans="3:4" x14ac:dyDescent="0.3">
      <c r="C9281" s="1"/>
      <c r="D9281" s="1"/>
    </row>
    <row r="9283" spans="3:4" x14ac:dyDescent="0.3">
      <c r="C9283" s="1"/>
    </row>
    <row r="9284" spans="3:4" x14ac:dyDescent="0.3">
      <c r="D9284" s="1"/>
    </row>
    <row r="9285" spans="3:4" x14ac:dyDescent="0.3">
      <c r="C9285" s="1"/>
      <c r="D9285" s="1"/>
    </row>
    <row r="9290" spans="3:4" x14ac:dyDescent="0.3">
      <c r="D9290" s="1"/>
    </row>
    <row r="9294" spans="3:4" x14ac:dyDescent="0.3">
      <c r="C9294" s="1"/>
      <c r="D9294" s="1"/>
    </row>
    <row r="9296" spans="3:4" x14ac:dyDescent="0.3">
      <c r="D9296" s="1"/>
    </row>
    <row r="9297" spans="4:4" x14ac:dyDescent="0.3">
      <c r="D9297" s="1"/>
    </row>
    <row r="9313" spans="3:4" x14ac:dyDescent="0.3">
      <c r="C9313" s="1"/>
      <c r="D9313" s="1"/>
    </row>
    <row r="9314" spans="3:4" x14ac:dyDescent="0.3">
      <c r="C9314" s="1"/>
      <c r="D9314" s="1"/>
    </row>
    <row r="9315" spans="3:4" x14ac:dyDescent="0.3">
      <c r="C9315" s="1"/>
      <c r="D9315" s="1"/>
    </row>
    <row r="9316" spans="3:4" x14ac:dyDescent="0.3">
      <c r="C9316" s="1"/>
      <c r="D9316" s="1"/>
    </row>
    <row r="9317" spans="3:4" x14ac:dyDescent="0.3">
      <c r="C9317" s="1"/>
      <c r="D9317" s="1"/>
    </row>
    <row r="9318" spans="3:4" x14ac:dyDescent="0.3">
      <c r="C9318" s="1"/>
      <c r="D9318" s="1"/>
    </row>
    <row r="9323" spans="3:4" x14ac:dyDescent="0.3">
      <c r="C9323" s="1"/>
      <c r="D9323" s="1"/>
    </row>
    <row r="9324" spans="3:4" x14ac:dyDescent="0.3">
      <c r="C9324" s="1"/>
      <c r="D9324" s="1"/>
    </row>
    <row r="9328" spans="3:4" x14ac:dyDescent="0.3">
      <c r="C9328" s="1"/>
      <c r="D9328" s="1"/>
    </row>
    <row r="9329" spans="3:4" x14ac:dyDescent="0.3">
      <c r="C9329" s="1"/>
      <c r="D9329" s="1"/>
    </row>
    <row r="9330" spans="3:4" x14ac:dyDescent="0.3">
      <c r="C9330" s="1"/>
      <c r="D9330" s="1"/>
    </row>
    <row r="9332" spans="3:4" x14ac:dyDescent="0.3">
      <c r="C9332" s="1"/>
    </row>
    <row r="9333" spans="3:4" x14ac:dyDescent="0.3">
      <c r="D9333" s="1"/>
    </row>
    <row r="9334" spans="3:4" x14ac:dyDescent="0.3">
      <c r="C9334" s="1"/>
    </row>
    <row r="9335" spans="3:4" x14ac:dyDescent="0.3">
      <c r="C9335" s="1"/>
    </row>
    <row r="9336" spans="3:4" x14ac:dyDescent="0.3">
      <c r="C9336" s="1"/>
      <c r="D9336" s="1"/>
    </row>
    <row r="9337" spans="3:4" x14ac:dyDescent="0.3">
      <c r="C9337" s="1"/>
      <c r="D9337" s="1"/>
    </row>
    <row r="9356" spans="3:4" x14ac:dyDescent="0.3">
      <c r="C9356" s="1"/>
      <c r="D9356" s="1"/>
    </row>
    <row r="9357" spans="3:4" x14ac:dyDescent="0.3">
      <c r="C9357" s="1"/>
      <c r="D9357" s="1"/>
    </row>
    <row r="9358" spans="3:4" x14ac:dyDescent="0.3">
      <c r="C9358" s="1"/>
      <c r="D9358" s="1"/>
    </row>
    <row r="9368" spans="3:4" x14ac:dyDescent="0.3">
      <c r="C9368" s="1"/>
    </row>
    <row r="9369" spans="3:4" x14ac:dyDescent="0.3">
      <c r="C9369" s="1"/>
    </row>
    <row r="9370" spans="3:4" x14ac:dyDescent="0.3">
      <c r="C9370" s="1"/>
      <c r="D9370" s="1"/>
    </row>
    <row r="9371" spans="3:4" x14ac:dyDescent="0.3">
      <c r="C9371" s="1"/>
      <c r="D9371" s="1"/>
    </row>
    <row r="9375" spans="3:4" x14ac:dyDescent="0.3">
      <c r="C9375" s="1"/>
      <c r="D9375" s="1"/>
    </row>
    <row r="9376" spans="3:4" x14ac:dyDescent="0.3">
      <c r="C9376" s="1"/>
      <c r="D9376" s="1"/>
    </row>
    <row r="9380" spans="3:3" x14ac:dyDescent="0.3">
      <c r="C9380" s="1"/>
    </row>
    <row r="9386" spans="3:3" x14ac:dyDescent="0.3">
      <c r="C9386" s="1"/>
    </row>
    <row r="9401" spans="3:3" x14ac:dyDescent="0.3">
      <c r="C9401" s="1"/>
    </row>
    <row r="9404" spans="3:3" x14ac:dyDescent="0.3">
      <c r="C9404" s="1"/>
    </row>
    <row r="9405" spans="3:3" x14ac:dyDescent="0.3">
      <c r="C9405" s="1"/>
    </row>
    <row r="9411" spans="3:4" x14ac:dyDescent="0.3">
      <c r="C9411" s="1"/>
    </row>
    <row r="9412" spans="3:4" x14ac:dyDescent="0.3">
      <c r="C9412" s="1"/>
    </row>
    <row r="9413" spans="3:4" x14ac:dyDescent="0.3">
      <c r="C9413" s="1"/>
    </row>
    <row r="9419" spans="3:4" x14ac:dyDescent="0.3">
      <c r="D9419" s="1"/>
    </row>
    <row r="9420" spans="3:4" x14ac:dyDescent="0.3">
      <c r="D9420" s="1"/>
    </row>
    <row r="9421" spans="3:4" x14ac:dyDescent="0.3">
      <c r="C9421" s="1"/>
      <c r="D9421" s="1"/>
    </row>
    <row r="9422" spans="3:4" x14ac:dyDescent="0.3">
      <c r="C9422" s="1"/>
      <c r="D9422" s="1"/>
    </row>
    <row r="9427" spans="3:4" x14ac:dyDescent="0.3">
      <c r="C9427" s="1"/>
    </row>
    <row r="9429" spans="3:4" x14ac:dyDescent="0.3">
      <c r="D9429" s="1"/>
    </row>
    <row r="9430" spans="3:4" x14ac:dyDescent="0.3">
      <c r="C9430" s="1"/>
    </row>
    <row r="9431" spans="3:4" x14ac:dyDescent="0.3">
      <c r="D9431" s="1"/>
    </row>
    <row r="9432" spans="3:4" x14ac:dyDescent="0.3">
      <c r="D9432" s="1"/>
    </row>
    <row r="9440" spans="3:4" x14ac:dyDescent="0.3">
      <c r="D9440" s="1"/>
    </row>
    <row r="9441" spans="3:4" x14ac:dyDescent="0.3">
      <c r="C9441" s="1"/>
    </row>
    <row r="9444" spans="3:4" x14ac:dyDescent="0.3">
      <c r="C9444" s="1"/>
      <c r="D9444" s="1"/>
    </row>
    <row r="9445" spans="3:4" x14ac:dyDescent="0.3">
      <c r="C9445" s="1"/>
      <c r="D9445" s="1"/>
    </row>
    <row r="9446" spans="3:4" x14ac:dyDescent="0.3">
      <c r="C9446" s="1"/>
      <c r="D9446" s="1"/>
    </row>
    <row r="9447" spans="3:4" x14ac:dyDescent="0.3">
      <c r="D9447" s="1"/>
    </row>
    <row r="9449" spans="3:4" x14ac:dyDescent="0.3">
      <c r="D9449" s="1"/>
    </row>
    <row r="9451" spans="3:4" x14ac:dyDescent="0.3">
      <c r="C9451" s="1"/>
    </row>
    <row r="9452" spans="3:4" x14ac:dyDescent="0.3">
      <c r="C9452" s="1"/>
      <c r="D9452" s="1"/>
    </row>
    <row r="9453" spans="3:4" x14ac:dyDescent="0.3">
      <c r="D9453" s="1"/>
    </row>
    <row r="9454" spans="3:4" x14ac:dyDescent="0.3">
      <c r="D9454" s="1"/>
    </row>
    <row r="9455" spans="3:4" x14ac:dyDescent="0.3">
      <c r="D9455" s="1"/>
    </row>
    <row r="9456" spans="3:4" x14ac:dyDescent="0.3">
      <c r="D9456" s="1"/>
    </row>
    <row r="9458" spans="3:4" x14ac:dyDescent="0.3">
      <c r="D9458" s="1"/>
    </row>
    <row r="9459" spans="3:4" x14ac:dyDescent="0.3">
      <c r="D9459" s="1"/>
    </row>
    <row r="9460" spans="3:4" x14ac:dyDescent="0.3">
      <c r="C9460" s="1"/>
    </row>
    <row r="9461" spans="3:4" x14ac:dyDescent="0.3">
      <c r="C9461" s="1"/>
    </row>
    <row r="9465" spans="3:4" x14ac:dyDescent="0.3">
      <c r="D9465" s="1"/>
    </row>
    <row r="9468" spans="3:4" x14ac:dyDescent="0.3">
      <c r="C9468" s="1"/>
      <c r="D9468" s="1"/>
    </row>
    <row r="9469" spans="3:4" x14ac:dyDescent="0.3">
      <c r="C9469" s="1"/>
      <c r="D9469" s="1"/>
    </row>
    <row r="9470" spans="3:4" x14ac:dyDescent="0.3">
      <c r="C9470" s="1"/>
      <c r="D9470" s="1"/>
    </row>
    <row r="9471" spans="3:4" x14ac:dyDescent="0.3">
      <c r="C9471" s="1"/>
      <c r="D9471" s="1"/>
    </row>
    <row r="9472" spans="3:4" x14ac:dyDescent="0.3">
      <c r="C9472" s="1"/>
      <c r="D9472" s="1"/>
    </row>
    <row r="9473" spans="3:4" x14ac:dyDescent="0.3">
      <c r="C9473" s="1"/>
      <c r="D9473" s="1"/>
    </row>
    <row r="9474" spans="3:4" x14ac:dyDescent="0.3">
      <c r="C9474" s="1"/>
      <c r="D9474" s="1"/>
    </row>
    <row r="9475" spans="3:4" x14ac:dyDescent="0.3">
      <c r="C9475" s="1"/>
      <c r="D9475" s="1"/>
    </row>
    <row r="9476" spans="3:4" x14ac:dyDescent="0.3">
      <c r="D9476" s="1"/>
    </row>
    <row r="9477" spans="3:4" x14ac:dyDescent="0.3">
      <c r="D9477" s="1"/>
    </row>
    <row r="9478" spans="3:4" x14ac:dyDescent="0.3">
      <c r="D9478" s="1"/>
    </row>
    <row r="9479" spans="3:4" x14ac:dyDescent="0.3">
      <c r="D9479" s="1"/>
    </row>
    <row r="9480" spans="3:4" x14ac:dyDescent="0.3">
      <c r="C9480" s="1"/>
    </row>
    <row r="9481" spans="3:4" x14ac:dyDescent="0.3">
      <c r="C9481" s="1"/>
    </row>
    <row r="9482" spans="3:4" x14ac:dyDescent="0.3">
      <c r="C9482" s="1"/>
    </row>
    <row r="9483" spans="3:4" x14ac:dyDescent="0.3">
      <c r="C9483" s="1"/>
      <c r="D9483" s="1"/>
    </row>
    <row r="9486" spans="3:4" x14ac:dyDescent="0.3">
      <c r="C9486" s="1"/>
      <c r="D9486" s="1"/>
    </row>
    <row r="9487" spans="3:4" x14ac:dyDescent="0.3">
      <c r="C9487" s="1"/>
      <c r="D9487" s="1"/>
    </row>
    <row r="9488" spans="3:4" x14ac:dyDescent="0.3">
      <c r="C9488" s="1"/>
      <c r="D9488" s="1"/>
    </row>
    <row r="9489" spans="3:4" x14ac:dyDescent="0.3">
      <c r="C9489" s="1"/>
    </row>
    <row r="9490" spans="3:4" x14ac:dyDescent="0.3">
      <c r="C9490" s="1"/>
      <c r="D9490" s="1"/>
    </row>
    <row r="9491" spans="3:4" x14ac:dyDescent="0.3">
      <c r="C9491" s="1"/>
      <c r="D9491" s="1"/>
    </row>
    <row r="9492" spans="3:4" x14ac:dyDescent="0.3">
      <c r="C9492" s="1"/>
      <c r="D9492" s="1"/>
    </row>
    <row r="9493" spans="3:4" x14ac:dyDescent="0.3">
      <c r="C9493" s="1"/>
      <c r="D9493" s="1"/>
    </row>
    <row r="9494" spans="3:4" x14ac:dyDescent="0.3">
      <c r="C9494" s="1"/>
      <c r="D9494" s="1"/>
    </row>
    <row r="9495" spans="3:4" x14ac:dyDescent="0.3">
      <c r="C9495" s="1"/>
      <c r="D9495" s="1"/>
    </row>
    <row r="9496" spans="3:4" x14ac:dyDescent="0.3">
      <c r="C9496" s="1"/>
      <c r="D9496" s="1"/>
    </row>
    <row r="9497" spans="3:4" x14ac:dyDescent="0.3">
      <c r="C9497" s="1"/>
    </row>
    <row r="9498" spans="3:4" x14ac:dyDescent="0.3">
      <c r="C9498" s="1"/>
    </row>
    <row r="9499" spans="3:4" x14ac:dyDescent="0.3">
      <c r="C9499" s="1"/>
      <c r="D9499" s="1"/>
    </row>
    <row r="9500" spans="3:4" x14ac:dyDescent="0.3">
      <c r="C9500" s="1"/>
      <c r="D9500" s="1"/>
    </row>
    <row r="9501" spans="3:4" x14ac:dyDescent="0.3">
      <c r="C9501" s="1"/>
      <c r="D9501" s="1"/>
    </row>
    <row r="9508" spans="3:4" x14ac:dyDescent="0.3">
      <c r="C9508" s="1"/>
      <c r="D9508" s="1"/>
    </row>
    <row r="9509" spans="3:4" x14ac:dyDescent="0.3">
      <c r="C9509" s="1"/>
      <c r="D9509" s="1"/>
    </row>
    <row r="9510" spans="3:4" x14ac:dyDescent="0.3">
      <c r="C9510" s="1"/>
      <c r="D9510" s="1"/>
    </row>
    <row r="9511" spans="3:4" x14ac:dyDescent="0.3">
      <c r="C9511" s="1"/>
      <c r="D9511" s="1"/>
    </row>
    <row r="9512" spans="3:4" x14ac:dyDescent="0.3">
      <c r="C9512" s="1"/>
      <c r="D9512" s="1"/>
    </row>
    <row r="9514" spans="3:4" x14ac:dyDescent="0.3">
      <c r="D9514" s="1"/>
    </row>
    <row r="9521" spans="3:4" x14ac:dyDescent="0.3">
      <c r="C9521" s="1"/>
      <c r="D9521" s="1"/>
    </row>
    <row r="9522" spans="3:4" x14ac:dyDescent="0.3">
      <c r="C9522" s="1"/>
      <c r="D9522" s="1"/>
    </row>
    <row r="9526" spans="3:4" x14ac:dyDescent="0.3">
      <c r="C9526" s="1"/>
      <c r="D9526" s="1"/>
    </row>
    <row r="9527" spans="3:4" x14ac:dyDescent="0.3">
      <c r="C9527" s="1"/>
      <c r="D9527" s="1"/>
    </row>
    <row r="9528" spans="3:4" x14ac:dyDescent="0.3">
      <c r="C9528" s="1"/>
      <c r="D9528" s="1"/>
    </row>
    <row r="9529" spans="3:4" x14ac:dyDescent="0.3">
      <c r="C9529" s="1"/>
      <c r="D9529" s="1"/>
    </row>
    <row r="9530" spans="3:4" x14ac:dyDescent="0.3">
      <c r="C9530" s="1"/>
      <c r="D9530" s="1"/>
    </row>
    <row r="9532" spans="3:4" x14ac:dyDescent="0.3">
      <c r="C9532" s="1"/>
      <c r="D9532" s="1"/>
    </row>
    <row r="9538" spans="3:4" x14ac:dyDescent="0.3">
      <c r="C9538" s="1"/>
    </row>
    <row r="9540" spans="3:4" x14ac:dyDescent="0.3">
      <c r="C9540" s="1"/>
      <c r="D9540" s="1"/>
    </row>
    <row r="9541" spans="3:4" x14ac:dyDescent="0.3">
      <c r="C9541" s="1"/>
      <c r="D9541" s="1"/>
    </row>
    <row r="9542" spans="3:4" x14ac:dyDescent="0.3">
      <c r="C9542" s="1"/>
    </row>
    <row r="9543" spans="3:4" x14ac:dyDescent="0.3">
      <c r="C9543" s="1"/>
      <c r="D9543" s="1"/>
    </row>
    <row r="9544" spans="3:4" x14ac:dyDescent="0.3">
      <c r="C9544" s="1"/>
      <c r="D9544" s="1"/>
    </row>
    <row r="9545" spans="3:4" x14ac:dyDescent="0.3">
      <c r="C9545" s="1"/>
      <c r="D9545" s="1"/>
    </row>
    <row r="9546" spans="3:4" x14ac:dyDescent="0.3">
      <c r="C9546" s="1"/>
      <c r="D9546" s="1"/>
    </row>
    <row r="9547" spans="3:4" x14ac:dyDescent="0.3">
      <c r="D9547" s="1"/>
    </row>
    <row r="9548" spans="3:4" x14ac:dyDescent="0.3">
      <c r="D9548" s="1"/>
    </row>
    <row r="9552" spans="3:4" x14ac:dyDescent="0.3">
      <c r="C9552" s="1"/>
      <c r="D9552" s="1"/>
    </row>
    <row r="9553" spans="3:4" x14ac:dyDescent="0.3">
      <c r="C9553" s="1"/>
    </row>
    <row r="9554" spans="3:4" x14ac:dyDescent="0.3">
      <c r="D9554" s="1"/>
    </row>
    <row r="9556" spans="3:4" x14ac:dyDescent="0.3">
      <c r="D9556" s="1"/>
    </row>
    <row r="9557" spans="3:4" x14ac:dyDescent="0.3">
      <c r="D9557" s="1"/>
    </row>
    <row r="9558" spans="3:4" x14ac:dyDescent="0.3">
      <c r="C9558" s="1"/>
      <c r="D9558" s="1"/>
    </row>
    <row r="9560" spans="3:4" x14ac:dyDescent="0.3">
      <c r="C9560" s="1"/>
      <c r="D9560" s="1"/>
    </row>
    <row r="9561" spans="3:4" x14ac:dyDescent="0.3">
      <c r="C9561" s="1"/>
      <c r="D9561" s="1"/>
    </row>
    <row r="9562" spans="3:4" x14ac:dyDescent="0.3">
      <c r="C9562" s="1"/>
      <c r="D9562" s="1"/>
    </row>
    <row r="9563" spans="3:4" x14ac:dyDescent="0.3">
      <c r="C9563" s="1"/>
      <c r="D9563" s="1"/>
    </row>
    <row r="9564" spans="3:4" x14ac:dyDescent="0.3">
      <c r="C9564" s="1"/>
      <c r="D9564" s="1"/>
    </row>
    <row r="9565" spans="3:4" x14ac:dyDescent="0.3">
      <c r="C9565" s="1"/>
      <c r="D9565" s="1"/>
    </row>
    <row r="9566" spans="3:4" x14ac:dyDescent="0.3">
      <c r="C9566" s="1"/>
      <c r="D9566" s="1"/>
    </row>
    <row r="9570" spans="3:4" x14ac:dyDescent="0.3">
      <c r="C9570" s="1"/>
      <c r="D9570" s="1"/>
    </row>
    <row r="9584" spans="3:4" x14ac:dyDescent="0.3">
      <c r="C9584" s="1"/>
      <c r="D9584" s="1"/>
    </row>
    <row r="9591" spans="3:4" x14ac:dyDescent="0.3">
      <c r="C9591" s="1"/>
    </row>
    <row r="9592" spans="3:4" x14ac:dyDescent="0.3">
      <c r="C9592" s="1"/>
    </row>
    <row r="9593" spans="3:4" x14ac:dyDescent="0.3">
      <c r="D9593" s="1"/>
    </row>
    <row r="9594" spans="3:4" x14ac:dyDescent="0.3">
      <c r="D9594" s="1"/>
    </row>
    <row r="9602" spans="3:4" x14ac:dyDescent="0.3">
      <c r="C9602" s="1"/>
      <c r="D9602" s="1"/>
    </row>
    <row r="9603" spans="3:4" x14ac:dyDescent="0.3">
      <c r="C9603" s="1"/>
      <c r="D9603" s="1"/>
    </row>
    <row r="9606" spans="3:4" x14ac:dyDescent="0.3">
      <c r="C9606" s="1"/>
      <c r="D9606" s="1"/>
    </row>
    <row r="9607" spans="3:4" x14ac:dyDescent="0.3">
      <c r="C9607" s="1"/>
      <c r="D9607" s="1"/>
    </row>
    <row r="9608" spans="3:4" x14ac:dyDescent="0.3">
      <c r="C9608" s="1"/>
      <c r="D9608" s="1"/>
    </row>
    <row r="9609" spans="3:4" x14ac:dyDescent="0.3">
      <c r="C9609" s="1"/>
      <c r="D9609" s="1"/>
    </row>
    <row r="9610" spans="3:4" x14ac:dyDescent="0.3">
      <c r="C9610" s="1"/>
      <c r="D9610" s="1"/>
    </row>
    <row r="9615" spans="3:4" x14ac:dyDescent="0.3">
      <c r="C9615" s="1"/>
    </row>
    <row r="9616" spans="3:4" x14ac:dyDescent="0.3">
      <c r="C9616" s="1"/>
    </row>
    <row r="9617" spans="3:4" x14ac:dyDescent="0.3">
      <c r="C9617" s="1"/>
    </row>
    <row r="9632" spans="3:4" x14ac:dyDescent="0.3">
      <c r="D9632" s="1"/>
    </row>
    <row r="9633" spans="3:4" x14ac:dyDescent="0.3">
      <c r="D9633" s="1"/>
    </row>
    <row r="9640" spans="3:4" x14ac:dyDescent="0.3">
      <c r="C9640" s="1"/>
    </row>
    <row r="9642" spans="3:4" x14ac:dyDescent="0.3">
      <c r="C9642" s="1"/>
      <c r="D9642" s="1"/>
    </row>
    <row r="9643" spans="3:4" x14ac:dyDescent="0.3">
      <c r="C9643" s="1"/>
      <c r="D9643" s="1"/>
    </row>
    <row r="9644" spans="3:4" x14ac:dyDescent="0.3">
      <c r="C9644" s="1"/>
      <c r="D9644" s="1"/>
    </row>
    <row r="9645" spans="3:4" x14ac:dyDescent="0.3">
      <c r="C9645" s="1"/>
      <c r="D9645" s="1"/>
    </row>
    <row r="9646" spans="3:4" x14ac:dyDescent="0.3">
      <c r="C9646" s="1"/>
    </row>
    <row r="9647" spans="3:4" x14ac:dyDescent="0.3">
      <c r="C9647" s="1"/>
    </row>
    <row r="9648" spans="3:4" x14ac:dyDescent="0.3">
      <c r="C9648" s="1"/>
    </row>
    <row r="9662" spans="3:4" x14ac:dyDescent="0.3">
      <c r="C9662" s="1"/>
      <c r="D9662" s="1"/>
    </row>
    <row r="9663" spans="3:4" x14ac:dyDescent="0.3">
      <c r="C9663" s="1"/>
      <c r="D9663" s="1"/>
    </row>
    <row r="9664" spans="3:4" x14ac:dyDescent="0.3">
      <c r="C9664" s="1"/>
      <c r="D9664" s="1"/>
    </row>
    <row r="9665" spans="3:4" x14ac:dyDescent="0.3">
      <c r="D9665" s="1"/>
    </row>
    <row r="9666" spans="3:4" x14ac:dyDescent="0.3">
      <c r="C9666" s="1"/>
      <c r="D9666" s="1"/>
    </row>
    <row r="9671" spans="3:4" x14ac:dyDescent="0.3">
      <c r="C9671" s="1"/>
      <c r="D9671" s="1"/>
    </row>
    <row r="9677" spans="3:4" x14ac:dyDescent="0.3">
      <c r="C9677" s="1"/>
      <c r="D9677" s="1"/>
    </row>
    <row r="9678" spans="3:4" x14ac:dyDescent="0.3">
      <c r="D9678" s="1"/>
    </row>
    <row r="9687" spans="3:4" x14ac:dyDescent="0.3">
      <c r="C9687" s="1"/>
      <c r="D9687" s="1"/>
    </row>
    <row r="9688" spans="3:4" x14ac:dyDescent="0.3">
      <c r="D9688" s="1"/>
    </row>
    <row r="9689" spans="3:4" x14ac:dyDescent="0.3">
      <c r="D9689" s="1"/>
    </row>
    <row r="9692" spans="3:4" x14ac:dyDescent="0.3">
      <c r="C9692" s="1"/>
      <c r="D9692" s="1"/>
    </row>
    <row r="9694" spans="3:4" x14ac:dyDescent="0.3">
      <c r="D9694" s="1"/>
    </row>
    <row r="9697" spans="3:4" x14ac:dyDescent="0.3">
      <c r="C9697" s="1"/>
    </row>
    <row r="9698" spans="3:4" x14ac:dyDescent="0.3">
      <c r="C9698" s="1"/>
    </row>
    <row r="9699" spans="3:4" x14ac:dyDescent="0.3">
      <c r="C9699" s="1"/>
      <c r="D9699" s="1"/>
    </row>
    <row r="9703" spans="3:4" x14ac:dyDescent="0.3">
      <c r="D9703" s="1"/>
    </row>
    <row r="9704" spans="3:4" x14ac:dyDescent="0.3">
      <c r="D9704" s="1"/>
    </row>
    <row r="9705" spans="3:4" x14ac:dyDescent="0.3">
      <c r="D9705" s="1"/>
    </row>
    <row r="9706" spans="3:4" x14ac:dyDescent="0.3">
      <c r="D9706" s="1"/>
    </row>
    <row r="9712" spans="3:4" x14ac:dyDescent="0.3">
      <c r="C9712" s="1"/>
      <c r="D9712" s="1"/>
    </row>
    <row r="9713" spans="3:4" x14ac:dyDescent="0.3">
      <c r="C9713" s="1"/>
      <c r="D9713" s="1"/>
    </row>
    <row r="9714" spans="3:4" x14ac:dyDescent="0.3">
      <c r="C9714" s="1"/>
      <c r="D9714" s="1"/>
    </row>
    <row r="9715" spans="3:4" x14ac:dyDescent="0.3">
      <c r="C9715" s="1"/>
      <c r="D9715" s="1"/>
    </row>
    <row r="9716" spans="3:4" x14ac:dyDescent="0.3">
      <c r="C9716" s="1"/>
      <c r="D9716" s="1"/>
    </row>
    <row r="9717" spans="3:4" x14ac:dyDescent="0.3">
      <c r="C9717" s="1"/>
      <c r="D9717" s="1"/>
    </row>
    <row r="9718" spans="3:4" x14ac:dyDescent="0.3">
      <c r="C9718" s="1"/>
    </row>
    <row r="9721" spans="3:4" x14ac:dyDescent="0.3">
      <c r="C9721" s="1"/>
    </row>
    <row r="9726" spans="3:4" x14ac:dyDescent="0.3">
      <c r="C9726" s="1"/>
      <c r="D9726" s="1"/>
    </row>
    <row r="9728" spans="3:4" x14ac:dyDescent="0.3">
      <c r="C9728" s="1"/>
      <c r="D9728" s="1"/>
    </row>
    <row r="9729" spans="3:4" x14ac:dyDescent="0.3">
      <c r="C9729" s="1"/>
      <c r="D9729" s="1"/>
    </row>
    <row r="9730" spans="3:4" x14ac:dyDescent="0.3">
      <c r="C9730" s="1"/>
      <c r="D9730" s="1"/>
    </row>
    <row r="9731" spans="3:4" x14ac:dyDescent="0.3">
      <c r="D9731" s="1"/>
    </row>
    <row r="9732" spans="3:4" x14ac:dyDescent="0.3">
      <c r="D9732" s="1"/>
    </row>
    <row r="9738" spans="3:4" x14ac:dyDescent="0.3">
      <c r="D9738" s="1"/>
    </row>
    <row r="9743" spans="3:4" x14ac:dyDescent="0.3">
      <c r="C9743" s="1"/>
      <c r="D9743" s="1"/>
    </row>
    <row r="9744" spans="3:4" x14ac:dyDescent="0.3">
      <c r="D9744" s="1"/>
    </row>
    <row r="9749" spans="3:4" x14ac:dyDescent="0.3">
      <c r="C9749" s="1"/>
    </row>
    <row r="9750" spans="3:4" x14ac:dyDescent="0.3">
      <c r="C9750" s="1"/>
    </row>
    <row r="9751" spans="3:4" x14ac:dyDescent="0.3">
      <c r="C9751" s="1"/>
      <c r="D9751" s="1"/>
    </row>
    <row r="9752" spans="3:4" x14ac:dyDescent="0.3">
      <c r="C9752" s="1"/>
    </row>
    <row r="9753" spans="3:4" x14ac:dyDescent="0.3">
      <c r="C9753" s="1"/>
    </row>
    <row r="9754" spans="3:4" x14ac:dyDescent="0.3">
      <c r="C9754" s="1"/>
      <c r="D9754" s="1"/>
    </row>
    <row r="9761" spans="3:4" x14ac:dyDescent="0.3">
      <c r="D9761" s="1"/>
    </row>
    <row r="9762" spans="3:4" x14ac:dyDescent="0.3">
      <c r="C9762" s="1"/>
      <c r="D9762" s="1"/>
    </row>
    <row r="9767" spans="3:4" x14ac:dyDescent="0.3">
      <c r="D9767" s="1"/>
    </row>
    <row r="9768" spans="3:4" x14ac:dyDescent="0.3">
      <c r="D9768" s="1"/>
    </row>
    <row r="9769" spans="3:4" x14ac:dyDescent="0.3">
      <c r="C9769" s="1"/>
    </row>
    <row r="9770" spans="3:4" x14ac:dyDescent="0.3">
      <c r="C9770" s="1"/>
    </row>
    <row r="9774" spans="3:4" x14ac:dyDescent="0.3">
      <c r="C9774" s="1"/>
      <c r="D9774" s="1"/>
    </row>
    <row r="9775" spans="3:4" x14ac:dyDescent="0.3">
      <c r="D9775" s="1"/>
    </row>
    <row r="9784" spans="3:4" x14ac:dyDescent="0.3">
      <c r="D9784" s="1"/>
    </row>
    <row r="9785" spans="3:4" x14ac:dyDescent="0.3">
      <c r="D9785" s="1"/>
    </row>
    <row r="9786" spans="3:4" x14ac:dyDescent="0.3">
      <c r="D9786" s="1"/>
    </row>
    <row r="9787" spans="3:4" x14ac:dyDescent="0.3">
      <c r="C9787" s="1"/>
    </row>
    <row r="9788" spans="3:4" x14ac:dyDescent="0.3">
      <c r="C9788" s="1"/>
      <c r="D9788" s="1"/>
    </row>
    <row r="9789" spans="3:4" x14ac:dyDescent="0.3">
      <c r="D9789" s="1"/>
    </row>
    <row r="9790" spans="3:4" x14ac:dyDescent="0.3">
      <c r="D9790" s="1"/>
    </row>
    <row r="9791" spans="3:4" x14ac:dyDescent="0.3">
      <c r="D9791" s="1"/>
    </row>
    <row r="9792" spans="3:4" x14ac:dyDescent="0.3">
      <c r="D9792" s="1"/>
    </row>
    <row r="9798" spans="3:4" x14ac:dyDescent="0.3">
      <c r="C9798" s="1"/>
    </row>
    <row r="9799" spans="3:4" x14ac:dyDescent="0.3">
      <c r="C9799" s="1"/>
    </row>
    <row r="9800" spans="3:4" x14ac:dyDescent="0.3">
      <c r="C9800" s="1"/>
    </row>
    <row r="9801" spans="3:4" x14ac:dyDescent="0.3">
      <c r="C9801" s="1"/>
    </row>
    <row r="9802" spans="3:4" x14ac:dyDescent="0.3">
      <c r="C9802" s="1"/>
    </row>
    <row r="9803" spans="3:4" x14ac:dyDescent="0.3">
      <c r="D9803" s="1"/>
    </row>
    <row r="9809" spans="3:4" x14ac:dyDescent="0.3">
      <c r="D9809" s="1"/>
    </row>
    <row r="9811" spans="3:4" x14ac:dyDescent="0.3">
      <c r="C9811" s="1"/>
      <c r="D9811" s="1"/>
    </row>
    <row r="9812" spans="3:4" x14ac:dyDescent="0.3">
      <c r="C9812" s="1"/>
      <c r="D9812" s="1"/>
    </row>
    <row r="9817" spans="3:4" x14ac:dyDescent="0.3">
      <c r="C9817" s="1"/>
      <c r="D9817" s="1"/>
    </row>
    <row r="9818" spans="3:4" x14ac:dyDescent="0.3">
      <c r="C9818" s="1"/>
      <c r="D9818" s="1"/>
    </row>
    <row r="9819" spans="3:4" x14ac:dyDescent="0.3">
      <c r="C9819" s="1"/>
      <c r="D9819" s="1"/>
    </row>
    <row r="9820" spans="3:4" x14ac:dyDescent="0.3">
      <c r="C9820" s="1"/>
      <c r="D9820" s="1"/>
    </row>
    <row r="9821" spans="3:4" x14ac:dyDescent="0.3">
      <c r="C9821" s="1"/>
      <c r="D9821" s="1"/>
    </row>
    <row r="9822" spans="3:4" x14ac:dyDescent="0.3">
      <c r="C9822" s="1"/>
      <c r="D9822" s="1"/>
    </row>
    <row r="9823" spans="3:4" x14ac:dyDescent="0.3">
      <c r="C9823" s="1"/>
      <c r="D9823" s="1"/>
    </row>
    <row r="9836" spans="3:4" x14ac:dyDescent="0.3">
      <c r="C9836" s="1"/>
      <c r="D9836" s="1"/>
    </row>
    <row r="9837" spans="3:4" x14ac:dyDescent="0.3">
      <c r="C9837" s="1"/>
      <c r="D9837" s="1"/>
    </row>
    <row r="9838" spans="3:4" x14ac:dyDescent="0.3">
      <c r="D9838" s="1"/>
    </row>
    <row r="9839" spans="3:4" x14ac:dyDescent="0.3">
      <c r="D9839" s="1"/>
    </row>
    <row r="9840" spans="3:4" x14ac:dyDescent="0.3">
      <c r="D9840" s="1"/>
    </row>
    <row r="9841" spans="3:4" x14ac:dyDescent="0.3">
      <c r="D9841" s="1"/>
    </row>
    <row r="9842" spans="3:4" x14ac:dyDescent="0.3">
      <c r="D9842" s="1"/>
    </row>
    <row r="9843" spans="3:4" x14ac:dyDescent="0.3">
      <c r="D9843" s="1"/>
    </row>
    <row r="9844" spans="3:4" x14ac:dyDescent="0.3">
      <c r="D9844" s="1"/>
    </row>
    <row r="9845" spans="3:4" x14ac:dyDescent="0.3">
      <c r="C9845" s="1"/>
      <c r="D9845" s="1"/>
    </row>
    <row r="9846" spans="3:4" x14ac:dyDescent="0.3">
      <c r="C9846" s="1"/>
      <c r="D9846" s="1"/>
    </row>
    <row r="9847" spans="3:4" x14ac:dyDescent="0.3">
      <c r="C9847" s="1"/>
      <c r="D9847" s="1"/>
    </row>
    <row r="9848" spans="3:4" x14ac:dyDescent="0.3">
      <c r="C9848" s="1"/>
      <c r="D9848" s="1"/>
    </row>
    <row r="9849" spans="3:4" x14ac:dyDescent="0.3">
      <c r="C9849" s="1"/>
      <c r="D9849" s="1"/>
    </row>
    <row r="9850" spans="3:4" x14ac:dyDescent="0.3">
      <c r="C9850" s="1"/>
      <c r="D9850" s="1"/>
    </row>
    <row r="9851" spans="3:4" x14ac:dyDescent="0.3">
      <c r="C9851" s="1"/>
    </row>
    <row r="9852" spans="3:4" x14ac:dyDescent="0.3">
      <c r="C9852" s="1"/>
      <c r="D9852" s="1"/>
    </row>
    <row r="9853" spans="3:4" x14ac:dyDescent="0.3">
      <c r="C9853" s="1"/>
      <c r="D9853" s="1"/>
    </row>
    <row r="9854" spans="3:4" x14ac:dyDescent="0.3">
      <c r="C9854" s="1"/>
      <c r="D9854" s="1"/>
    </row>
    <row r="9855" spans="3:4" x14ac:dyDescent="0.3">
      <c r="C9855" s="1"/>
      <c r="D9855" s="1"/>
    </row>
    <row r="9858" spans="3:4" x14ac:dyDescent="0.3">
      <c r="C9858" s="1"/>
      <c r="D9858" s="1"/>
    </row>
    <row r="9870" spans="3:4" x14ac:dyDescent="0.3">
      <c r="C9870" s="1"/>
      <c r="D9870" s="1"/>
    </row>
    <row r="9871" spans="3:4" x14ac:dyDescent="0.3">
      <c r="C9871" s="1"/>
      <c r="D9871" s="1"/>
    </row>
    <row r="9872" spans="3:4" x14ac:dyDescent="0.3">
      <c r="C9872" s="1"/>
      <c r="D9872" s="1"/>
    </row>
    <row r="9873" spans="3:4" x14ac:dyDescent="0.3">
      <c r="C9873" s="1"/>
      <c r="D9873" s="1"/>
    </row>
    <row r="9874" spans="3:4" x14ac:dyDescent="0.3">
      <c r="C9874" s="1"/>
      <c r="D9874" s="1"/>
    </row>
    <row r="9875" spans="3:4" x14ac:dyDescent="0.3">
      <c r="C9875" s="1"/>
    </row>
    <row r="9877" spans="3:4" x14ac:dyDescent="0.3">
      <c r="D9877" s="1"/>
    </row>
    <row r="9883" spans="3:4" x14ac:dyDescent="0.3">
      <c r="C9883" s="1"/>
    </row>
    <row r="9884" spans="3:4" x14ac:dyDescent="0.3">
      <c r="C9884" s="1"/>
    </row>
    <row r="9885" spans="3:4" x14ac:dyDescent="0.3">
      <c r="C9885" s="1"/>
      <c r="D9885" s="1"/>
    </row>
    <row r="9886" spans="3:4" x14ac:dyDescent="0.3">
      <c r="C9886" s="1"/>
      <c r="D9886" s="1"/>
    </row>
    <row r="9887" spans="3:4" x14ac:dyDescent="0.3">
      <c r="C9887" s="1"/>
      <c r="D9887" s="1"/>
    </row>
    <row r="9889" spans="3:4" x14ac:dyDescent="0.3">
      <c r="C9889" s="1"/>
    </row>
    <row r="9890" spans="3:4" x14ac:dyDescent="0.3">
      <c r="C9890" s="1"/>
      <c r="D9890" s="1"/>
    </row>
    <row r="9897" spans="3:4" x14ac:dyDescent="0.3">
      <c r="D9897" s="1"/>
    </row>
    <row r="9899" spans="3:4" x14ac:dyDescent="0.3">
      <c r="C9899" s="1"/>
      <c r="D9899" s="1"/>
    </row>
    <row r="9900" spans="3:4" x14ac:dyDescent="0.3">
      <c r="C9900" s="1"/>
      <c r="D9900" s="1"/>
    </row>
    <row r="9901" spans="3:4" x14ac:dyDescent="0.3">
      <c r="D9901" s="1"/>
    </row>
    <row r="9905" spans="3:4" x14ac:dyDescent="0.3">
      <c r="C9905" s="1"/>
    </row>
    <row r="9906" spans="3:4" x14ac:dyDescent="0.3">
      <c r="C9906" s="1"/>
    </row>
    <row r="9913" spans="3:4" x14ac:dyDescent="0.3">
      <c r="C9913" s="1"/>
      <c r="D9913" s="1"/>
    </row>
    <row r="9914" spans="3:4" x14ac:dyDescent="0.3">
      <c r="C9914" s="1"/>
      <c r="D9914" s="1"/>
    </row>
    <row r="9915" spans="3:4" x14ac:dyDescent="0.3">
      <c r="C9915" s="1"/>
      <c r="D9915" s="1"/>
    </row>
    <row r="9924" spans="3:4" x14ac:dyDescent="0.3">
      <c r="C9924" s="1"/>
      <c r="D9924" s="1"/>
    </row>
    <row r="9930" spans="3:4" x14ac:dyDescent="0.3">
      <c r="C9930" s="1"/>
      <c r="D9930" s="1"/>
    </row>
    <row r="9931" spans="3:4" x14ac:dyDescent="0.3">
      <c r="C9931" s="1"/>
      <c r="D9931" s="1"/>
    </row>
    <row r="9935" spans="3:4" x14ac:dyDescent="0.3">
      <c r="C9935" s="1"/>
    </row>
    <row r="9936" spans="3:4" x14ac:dyDescent="0.3">
      <c r="C9936" s="1"/>
      <c r="D9936" s="1"/>
    </row>
    <row r="9937" spans="3:4" x14ac:dyDescent="0.3">
      <c r="C9937" s="1"/>
      <c r="D9937" s="1"/>
    </row>
    <row r="9939" spans="3:4" x14ac:dyDescent="0.3">
      <c r="C9939" s="1"/>
      <c r="D9939" s="1"/>
    </row>
    <row r="9940" spans="3:4" x14ac:dyDescent="0.3">
      <c r="C9940" s="1"/>
    </row>
    <row r="9941" spans="3:4" x14ac:dyDescent="0.3">
      <c r="C9941" s="1"/>
    </row>
    <row r="9942" spans="3:4" x14ac:dyDescent="0.3">
      <c r="C9942" s="1"/>
    </row>
    <row r="9944" spans="3:4" x14ac:dyDescent="0.3">
      <c r="D9944" s="1"/>
    </row>
    <row r="9945" spans="3:4" x14ac:dyDescent="0.3">
      <c r="D9945" s="1"/>
    </row>
    <row r="9946" spans="3:4" x14ac:dyDescent="0.3">
      <c r="C9946" s="1"/>
    </row>
    <row r="9947" spans="3:4" x14ac:dyDescent="0.3">
      <c r="C9947" s="1"/>
      <c r="D9947" s="1"/>
    </row>
    <row r="9948" spans="3:4" x14ac:dyDescent="0.3">
      <c r="C9948" s="1"/>
      <c r="D9948" s="1"/>
    </row>
    <row r="9949" spans="3:4" x14ac:dyDescent="0.3">
      <c r="C9949" s="1"/>
      <c r="D9949" s="1"/>
    </row>
    <row r="9950" spans="3:4" x14ac:dyDescent="0.3">
      <c r="C9950" s="1"/>
      <c r="D9950" s="1"/>
    </row>
    <row r="9951" spans="3:4" x14ac:dyDescent="0.3">
      <c r="C9951" s="1"/>
      <c r="D9951" s="1"/>
    </row>
    <row r="9952" spans="3:4" x14ac:dyDescent="0.3">
      <c r="C9952" s="1"/>
      <c r="D9952" s="1"/>
    </row>
    <row r="9953" spans="3:4" x14ac:dyDescent="0.3">
      <c r="C9953" s="1"/>
      <c r="D9953" s="1"/>
    </row>
    <row r="9958" spans="3:4" x14ac:dyDescent="0.3">
      <c r="C9958" s="1"/>
    </row>
    <row r="9959" spans="3:4" x14ac:dyDescent="0.3">
      <c r="C9959" s="1"/>
    </row>
    <row r="9960" spans="3:4" x14ac:dyDescent="0.3">
      <c r="C9960" s="1"/>
    </row>
    <row r="9961" spans="3:4" x14ac:dyDescent="0.3">
      <c r="C9961" s="1"/>
      <c r="D9961" s="1"/>
    </row>
    <row r="9966" spans="3:4" x14ac:dyDescent="0.3">
      <c r="C9966" s="1"/>
      <c r="D9966" s="1"/>
    </row>
    <row r="9967" spans="3:4" x14ac:dyDescent="0.3">
      <c r="C9967" s="1"/>
      <c r="D9967" s="1"/>
    </row>
    <row r="9968" spans="3:4" x14ac:dyDescent="0.3">
      <c r="C9968" s="1"/>
      <c r="D9968" s="1"/>
    </row>
    <row r="9969" spans="3:4" x14ac:dyDescent="0.3">
      <c r="C9969" s="1"/>
    </row>
    <row r="9970" spans="3:4" x14ac:dyDescent="0.3">
      <c r="C9970" s="1"/>
    </row>
    <row r="9971" spans="3:4" x14ac:dyDescent="0.3">
      <c r="C9971" s="1"/>
    </row>
    <row r="9972" spans="3:4" x14ac:dyDescent="0.3">
      <c r="D9972" s="1"/>
    </row>
    <row r="9973" spans="3:4" x14ac:dyDescent="0.3">
      <c r="D9973" s="1"/>
    </row>
    <row r="9974" spans="3:4" x14ac:dyDescent="0.3">
      <c r="C9974" s="1"/>
    </row>
    <row r="9975" spans="3:4" x14ac:dyDescent="0.3">
      <c r="C9975" s="1"/>
      <c r="D9975" s="1"/>
    </row>
    <row r="9976" spans="3:4" x14ac:dyDescent="0.3">
      <c r="C9976" s="1"/>
      <c r="D9976" s="1"/>
    </row>
    <row r="9977" spans="3:4" x14ac:dyDescent="0.3">
      <c r="C9977" s="1"/>
      <c r="D9977" s="1"/>
    </row>
    <row r="9978" spans="3:4" x14ac:dyDescent="0.3">
      <c r="C9978" s="1"/>
      <c r="D9978" s="1"/>
    </row>
    <row r="9979" spans="3:4" x14ac:dyDescent="0.3">
      <c r="C9979" s="1"/>
      <c r="D9979" s="1"/>
    </row>
    <row r="9980" spans="3:4" x14ac:dyDescent="0.3">
      <c r="C9980" s="1"/>
      <c r="D9980" s="1"/>
    </row>
    <row r="9981" spans="3:4" x14ac:dyDescent="0.3">
      <c r="C9981" s="1"/>
      <c r="D9981" s="1"/>
    </row>
    <row r="9982" spans="3:4" x14ac:dyDescent="0.3">
      <c r="C9982" s="1"/>
      <c r="D9982" s="1"/>
    </row>
    <row r="9983" spans="3:4" x14ac:dyDescent="0.3">
      <c r="C9983" s="1"/>
      <c r="D9983" s="1"/>
    </row>
    <row r="9988" spans="3:4" x14ac:dyDescent="0.3">
      <c r="D9988" s="1"/>
    </row>
    <row r="9992" spans="3:4" x14ac:dyDescent="0.3">
      <c r="D9992" s="1"/>
    </row>
    <row r="9993" spans="3:4" x14ac:dyDescent="0.3">
      <c r="D9993" s="1"/>
    </row>
    <row r="9994" spans="3:4" x14ac:dyDescent="0.3">
      <c r="D9994" s="1"/>
    </row>
    <row r="9995" spans="3:4" x14ac:dyDescent="0.3">
      <c r="C9995" s="1"/>
      <c r="D9995" s="1"/>
    </row>
  </sheetData>
  <mergeCells count="1">
    <mergeCell ref="AB4:AC4"/>
  </mergeCells>
  <conditionalFormatting sqref="S2:S301">
    <cfRule type="cellIs" dxfId="2"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BD685-D67B-4955-9AB8-6F49DEA3E1B4}">
  <dimension ref="A1:AB37"/>
  <sheetViews>
    <sheetView showGridLines="0" showRowColHeaders="0" zoomScale="86" workbookViewId="0">
      <selection activeCell="O4" sqref="O4:T10"/>
    </sheetView>
  </sheetViews>
  <sheetFormatPr defaultRowHeight="14.4" x14ac:dyDescent="0.3"/>
  <sheetData>
    <row r="1" spans="1:28"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spans="1:28" x14ac:dyDescent="0.3">
      <c r="A2" s="20" t="s">
        <v>876</v>
      </c>
      <c r="B2" s="20"/>
      <c r="C2" s="20"/>
      <c r="D2" s="20"/>
      <c r="E2" s="20"/>
      <c r="F2" s="20"/>
      <c r="G2" s="15"/>
      <c r="H2" s="21" t="s">
        <v>877</v>
      </c>
      <c r="I2" s="21"/>
      <c r="J2" s="21"/>
      <c r="K2" s="21"/>
      <c r="L2" s="21"/>
      <c r="M2" s="21"/>
      <c r="N2" s="15"/>
      <c r="O2" s="22" t="s">
        <v>874</v>
      </c>
      <c r="P2" s="22"/>
      <c r="Q2" s="22"/>
      <c r="R2" s="22"/>
      <c r="S2" s="22"/>
      <c r="T2" s="22"/>
      <c r="U2" s="15"/>
      <c r="V2" s="23" t="s">
        <v>875</v>
      </c>
      <c r="W2" s="23"/>
      <c r="X2" s="23"/>
      <c r="Y2" s="23"/>
      <c r="Z2" s="23"/>
      <c r="AA2" s="23"/>
      <c r="AB2" s="15"/>
    </row>
    <row r="3" spans="1:28" x14ac:dyDescent="0.3">
      <c r="A3" s="20"/>
      <c r="B3" s="20"/>
      <c r="C3" s="20"/>
      <c r="D3" s="20"/>
      <c r="E3" s="20"/>
      <c r="F3" s="20"/>
      <c r="G3" s="15"/>
      <c r="H3" s="21"/>
      <c r="I3" s="21"/>
      <c r="J3" s="21"/>
      <c r="K3" s="21"/>
      <c r="L3" s="21"/>
      <c r="M3" s="21"/>
      <c r="N3" s="15"/>
      <c r="O3" s="22"/>
      <c r="P3" s="22"/>
      <c r="Q3" s="22"/>
      <c r="R3" s="22"/>
      <c r="S3" s="22"/>
      <c r="T3" s="22"/>
      <c r="U3" s="15"/>
      <c r="V3" s="23"/>
      <c r="W3" s="23"/>
      <c r="X3" s="23"/>
      <c r="Y3" s="23"/>
      <c r="Z3" s="23"/>
      <c r="AA3" s="23"/>
      <c r="AB3" s="15"/>
    </row>
    <row r="4" spans="1:28" x14ac:dyDescent="0.3">
      <c r="A4" s="24">
        <v>77903.809200000003</v>
      </c>
      <c r="B4" s="24"/>
      <c r="C4" s="24"/>
      <c r="D4" s="24"/>
      <c r="E4" s="24"/>
      <c r="F4" s="24"/>
      <c r="G4" s="15"/>
      <c r="H4" s="25">
        <v>-499.03</v>
      </c>
      <c r="I4" s="25"/>
      <c r="J4" s="25"/>
      <c r="K4" s="25"/>
      <c r="L4" s="25"/>
      <c r="M4" s="25"/>
      <c r="N4" s="15"/>
      <c r="O4" s="26">
        <v>300</v>
      </c>
      <c r="P4" s="26"/>
      <c r="Q4" s="26"/>
      <c r="R4" s="26"/>
      <c r="S4" s="26"/>
      <c r="T4" s="26"/>
      <c r="U4" s="15"/>
      <c r="V4" s="27">
        <v>1213</v>
      </c>
      <c r="W4" s="27"/>
      <c r="X4" s="27"/>
      <c r="Y4" s="27"/>
      <c r="Z4" s="27"/>
      <c r="AA4" s="27"/>
      <c r="AB4" s="15"/>
    </row>
    <row r="5" spans="1:28" x14ac:dyDescent="0.3">
      <c r="A5" s="24"/>
      <c r="B5" s="24"/>
      <c r="C5" s="24"/>
      <c r="D5" s="24"/>
      <c r="E5" s="24"/>
      <c r="F5" s="24"/>
      <c r="G5" s="15"/>
      <c r="H5" s="25"/>
      <c r="I5" s="25"/>
      <c r="J5" s="25"/>
      <c r="K5" s="25"/>
      <c r="L5" s="25"/>
      <c r="M5" s="25"/>
      <c r="N5" s="15"/>
      <c r="O5" s="26"/>
      <c r="P5" s="26"/>
      <c r="Q5" s="26"/>
      <c r="R5" s="26"/>
      <c r="S5" s="26"/>
      <c r="T5" s="26"/>
      <c r="U5" s="15"/>
      <c r="V5" s="27"/>
      <c r="W5" s="27"/>
      <c r="X5" s="27"/>
      <c r="Y5" s="27"/>
      <c r="Z5" s="27"/>
      <c r="AA5" s="27"/>
      <c r="AB5" s="15"/>
    </row>
    <row r="6" spans="1:28" x14ac:dyDescent="0.3">
      <c r="A6" s="24"/>
      <c r="B6" s="24"/>
      <c r="C6" s="24"/>
      <c r="D6" s="24"/>
      <c r="E6" s="24"/>
      <c r="F6" s="24"/>
      <c r="G6" s="15"/>
      <c r="H6" s="25"/>
      <c r="I6" s="25"/>
      <c r="J6" s="25"/>
      <c r="K6" s="25"/>
      <c r="L6" s="25"/>
      <c r="M6" s="25"/>
      <c r="N6" s="15"/>
      <c r="O6" s="26"/>
      <c r="P6" s="26"/>
      <c r="Q6" s="26"/>
      <c r="R6" s="26"/>
      <c r="S6" s="26"/>
      <c r="T6" s="26"/>
      <c r="U6" s="15"/>
      <c r="V6" s="27"/>
      <c r="W6" s="27"/>
      <c r="X6" s="27"/>
      <c r="Y6" s="27"/>
      <c r="Z6" s="27"/>
      <c r="AA6" s="27"/>
      <c r="AB6" s="15"/>
    </row>
    <row r="7" spans="1:28" x14ac:dyDescent="0.3">
      <c r="A7" s="24"/>
      <c r="B7" s="24"/>
      <c r="C7" s="24"/>
      <c r="D7" s="24"/>
      <c r="E7" s="24"/>
      <c r="F7" s="24"/>
      <c r="G7" s="15"/>
      <c r="H7" s="25"/>
      <c r="I7" s="25"/>
      <c r="J7" s="25"/>
      <c r="K7" s="25"/>
      <c r="L7" s="25"/>
      <c r="M7" s="25"/>
      <c r="N7" s="15"/>
      <c r="O7" s="26"/>
      <c r="P7" s="26"/>
      <c r="Q7" s="26"/>
      <c r="R7" s="26"/>
      <c r="S7" s="26"/>
      <c r="T7" s="26"/>
      <c r="U7" s="15"/>
      <c r="V7" s="27"/>
      <c r="W7" s="27"/>
      <c r="X7" s="27"/>
      <c r="Y7" s="27"/>
      <c r="Z7" s="27"/>
      <c r="AA7" s="27"/>
      <c r="AB7" s="15"/>
    </row>
    <row r="8" spans="1:28" x14ac:dyDescent="0.3">
      <c r="A8" s="24"/>
      <c r="B8" s="24"/>
      <c r="C8" s="24"/>
      <c r="D8" s="24"/>
      <c r="E8" s="24"/>
      <c r="F8" s="24"/>
      <c r="G8" s="15"/>
      <c r="H8" s="25"/>
      <c r="I8" s="25"/>
      <c r="J8" s="25"/>
      <c r="K8" s="25"/>
      <c r="L8" s="25"/>
      <c r="M8" s="25"/>
      <c r="N8" s="15"/>
      <c r="O8" s="26"/>
      <c r="P8" s="26"/>
      <c r="Q8" s="26"/>
      <c r="R8" s="26"/>
      <c r="S8" s="26"/>
      <c r="T8" s="26"/>
      <c r="U8" s="15"/>
      <c r="V8" s="27"/>
      <c r="W8" s="27"/>
      <c r="X8" s="27"/>
      <c r="Y8" s="27"/>
      <c r="Z8" s="27"/>
      <c r="AA8" s="27"/>
      <c r="AB8" s="15"/>
    </row>
    <row r="9" spans="1:28" x14ac:dyDescent="0.3">
      <c r="A9" s="24"/>
      <c r="B9" s="24"/>
      <c r="C9" s="24"/>
      <c r="D9" s="24"/>
      <c r="E9" s="24"/>
      <c r="F9" s="24"/>
      <c r="G9" s="15"/>
      <c r="H9" s="25"/>
      <c r="I9" s="25"/>
      <c r="J9" s="25"/>
      <c r="K9" s="25"/>
      <c r="L9" s="25"/>
      <c r="M9" s="25"/>
      <c r="N9" s="15"/>
      <c r="O9" s="26"/>
      <c r="P9" s="26"/>
      <c r="Q9" s="26"/>
      <c r="R9" s="26"/>
      <c r="S9" s="26"/>
      <c r="T9" s="26"/>
      <c r="U9" s="15"/>
      <c r="V9" s="27"/>
      <c r="W9" s="27"/>
      <c r="X9" s="27"/>
      <c r="Y9" s="27"/>
      <c r="Z9" s="27"/>
      <c r="AA9" s="27"/>
      <c r="AB9" s="15"/>
    </row>
    <row r="10" spans="1:28" x14ac:dyDescent="0.3">
      <c r="A10" s="24"/>
      <c r="B10" s="24"/>
      <c r="C10" s="24"/>
      <c r="D10" s="24"/>
      <c r="E10" s="24"/>
      <c r="F10" s="24"/>
      <c r="G10" s="15"/>
      <c r="H10" s="25"/>
      <c r="I10" s="25"/>
      <c r="J10" s="25"/>
      <c r="K10" s="25"/>
      <c r="L10" s="25"/>
      <c r="M10" s="25"/>
      <c r="N10" s="15"/>
      <c r="O10" s="26"/>
      <c r="P10" s="26"/>
      <c r="Q10" s="26"/>
      <c r="R10" s="26"/>
      <c r="S10" s="26"/>
      <c r="T10" s="26"/>
      <c r="U10" s="15"/>
      <c r="V10" s="27"/>
      <c r="W10" s="27"/>
      <c r="X10" s="27"/>
      <c r="Y10" s="27"/>
      <c r="Z10" s="27"/>
      <c r="AA10" s="27"/>
      <c r="AB10" s="15"/>
    </row>
    <row r="11" spans="1:28"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spans="1:28"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row>
    <row r="13" spans="1:28"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4" spans="1:28"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row>
    <row r="15" spans="1:28"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spans="1:28"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spans="1:28"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row>
    <row r="18" spans="1:28"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spans="1:28" ht="22.2" x14ac:dyDescent="0.3">
      <c r="A19" s="15"/>
      <c r="B19" s="15"/>
      <c r="C19" s="15"/>
      <c r="D19" s="15"/>
      <c r="E19" s="15"/>
      <c r="F19" s="15"/>
      <c r="G19" s="15"/>
      <c r="H19" s="15"/>
      <c r="I19" s="15"/>
      <c r="J19" s="15"/>
      <c r="K19" s="15"/>
      <c r="L19" s="15"/>
      <c r="M19" s="16"/>
      <c r="N19" s="15"/>
      <c r="O19" s="15"/>
      <c r="P19" s="15"/>
      <c r="Q19" s="15"/>
      <c r="R19" s="15"/>
      <c r="S19" s="15"/>
      <c r="T19" s="15"/>
      <c r="U19" s="17"/>
      <c r="V19" s="15"/>
      <c r="W19" s="15"/>
      <c r="X19" s="15"/>
      <c r="Y19" s="15"/>
      <c r="Z19" s="15"/>
      <c r="AA19" s="15"/>
      <c r="AB19" s="15"/>
    </row>
    <row r="20" spans="1:28" ht="22.2" x14ac:dyDescent="0.3">
      <c r="A20" s="15"/>
      <c r="B20" s="15"/>
      <c r="C20" s="15"/>
      <c r="D20" s="15"/>
      <c r="E20" s="15"/>
      <c r="F20" s="15"/>
      <c r="G20" s="15"/>
      <c r="H20" s="15"/>
      <c r="I20" s="15"/>
      <c r="J20" s="15"/>
      <c r="K20" s="15"/>
      <c r="L20" s="15"/>
      <c r="M20" s="15"/>
      <c r="N20" s="15"/>
      <c r="O20" s="15"/>
      <c r="P20" s="18"/>
      <c r="Q20" s="15"/>
      <c r="R20" s="15"/>
      <c r="S20" s="15"/>
      <c r="T20" s="15"/>
      <c r="U20" s="15"/>
      <c r="V20" s="15"/>
      <c r="W20" s="15"/>
      <c r="X20" s="15"/>
      <c r="Y20" s="15"/>
      <c r="Z20" s="15"/>
      <c r="AA20" s="15"/>
      <c r="AB20" s="15"/>
    </row>
    <row r="21" spans="1:28"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spans="1:28"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8"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sheetData>
  <mergeCells count="8">
    <mergeCell ref="A2:F3"/>
    <mergeCell ref="H2:M3"/>
    <mergeCell ref="O2:T3"/>
    <mergeCell ref="V2:AA3"/>
    <mergeCell ref="A4:F10"/>
    <mergeCell ref="H4:M10"/>
    <mergeCell ref="O4:T10"/>
    <mergeCell ref="V4:AA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5950-314A-4BD0-B521-10C7246476D2}">
  <dimension ref="C3:N8"/>
  <sheetViews>
    <sheetView workbookViewId="0">
      <selection activeCell="D6" sqref="D6"/>
    </sheetView>
  </sheetViews>
  <sheetFormatPr defaultRowHeight="14.4" x14ac:dyDescent="0.3"/>
  <cols>
    <col min="1" max="1" width="12.5546875" bestFit="1" customWidth="1"/>
    <col min="2" max="2" width="11.6640625" bestFit="1" customWidth="1"/>
    <col min="3" max="3" width="12.44140625" bestFit="1" customWidth="1"/>
    <col min="4" max="5" width="11.21875" bestFit="1" customWidth="1"/>
    <col min="12" max="12" width="13.109375" bestFit="1" customWidth="1"/>
    <col min="13" max="13" width="11.6640625" bestFit="1" customWidth="1"/>
    <col min="14" max="14" width="12.109375" bestFit="1" customWidth="1"/>
  </cols>
  <sheetData>
    <row r="3" spans="3:14" x14ac:dyDescent="0.3">
      <c r="C3" s="6" t="s">
        <v>826</v>
      </c>
      <c r="D3" t="s">
        <v>828</v>
      </c>
      <c r="L3" s="6" t="s">
        <v>826</v>
      </c>
      <c r="M3" t="s">
        <v>828</v>
      </c>
      <c r="N3" t="s">
        <v>829</v>
      </c>
    </row>
    <row r="4" spans="3:14" x14ac:dyDescent="0.3">
      <c r="C4" s="7" t="s">
        <v>88</v>
      </c>
      <c r="D4" s="8">
        <v>35738.805199999988</v>
      </c>
      <c r="L4" s="7" t="s">
        <v>29</v>
      </c>
      <c r="M4" s="8">
        <v>28126.361200000003</v>
      </c>
      <c r="N4" s="8">
        <v>-1414.0913000000005</v>
      </c>
    </row>
    <row r="5" spans="3:14" x14ac:dyDescent="0.3">
      <c r="C5" s="7" t="s">
        <v>122</v>
      </c>
      <c r="D5" s="8">
        <v>13439.848</v>
      </c>
      <c r="L5" s="7" t="s">
        <v>41</v>
      </c>
      <c r="M5" s="8">
        <v>17110.423999999988</v>
      </c>
      <c r="N5" s="8">
        <v>1419.5224000000005</v>
      </c>
    </row>
    <row r="6" spans="3:14" x14ac:dyDescent="0.3">
      <c r="C6" s="7" t="s">
        <v>27</v>
      </c>
      <c r="D6" s="8">
        <v>8601.6219999999994</v>
      </c>
      <c r="L6" s="7" t="s">
        <v>61</v>
      </c>
      <c r="M6" s="8">
        <v>32667.023999999994</v>
      </c>
      <c r="N6" s="8">
        <v>-504.46580000000023</v>
      </c>
    </row>
    <row r="7" spans="3:14" x14ac:dyDescent="0.3">
      <c r="C7" s="7" t="s">
        <v>39</v>
      </c>
      <c r="D7" s="8">
        <v>20123.533999999989</v>
      </c>
      <c r="L7" s="7" t="s">
        <v>827</v>
      </c>
      <c r="M7" s="8">
        <v>77903.809199999989</v>
      </c>
      <c r="N7" s="8">
        <v>-499.03470000000021</v>
      </c>
    </row>
    <row r="8" spans="3:14" x14ac:dyDescent="0.3">
      <c r="C8" s="7" t="s">
        <v>827</v>
      </c>
      <c r="D8" s="8">
        <v>77903.809199999974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823E-1A11-404D-A5F2-58ADFE8FD253}">
  <dimension ref="A3:I131"/>
  <sheetViews>
    <sheetView workbookViewId="0">
      <selection activeCell="K3" sqref="K3"/>
    </sheetView>
  </sheetViews>
  <sheetFormatPr defaultRowHeight="14.4" x14ac:dyDescent="0.3"/>
  <cols>
    <col min="1" max="1" width="17.33203125" bestFit="1" customWidth="1"/>
    <col min="2" max="2" width="11.21875" bestFit="1" customWidth="1"/>
    <col min="8" max="8" width="13.109375" bestFit="1" customWidth="1"/>
    <col min="9" max="9" width="11.6640625" bestFit="1" customWidth="1"/>
  </cols>
  <sheetData>
    <row r="3" spans="1:9" x14ac:dyDescent="0.3">
      <c r="A3" s="6" t="s">
        <v>826</v>
      </c>
      <c r="B3" t="s">
        <v>828</v>
      </c>
      <c r="H3" s="6" t="s">
        <v>826</v>
      </c>
      <c r="I3" t="s">
        <v>828</v>
      </c>
    </row>
    <row r="4" spans="1:9" x14ac:dyDescent="0.3">
      <c r="A4" s="7" t="s">
        <v>521</v>
      </c>
      <c r="B4" s="8">
        <v>10539.896000000001</v>
      </c>
      <c r="H4" s="7" t="s">
        <v>29</v>
      </c>
      <c r="I4" s="8">
        <v>28126.361200000003</v>
      </c>
    </row>
    <row r="5" spans="1:9" x14ac:dyDescent="0.3">
      <c r="A5" s="7" t="s">
        <v>741</v>
      </c>
      <c r="B5" s="8">
        <v>5579.9400000000005</v>
      </c>
      <c r="H5" s="7" t="s">
        <v>41</v>
      </c>
      <c r="I5" s="8">
        <v>17110.423999999988</v>
      </c>
    </row>
    <row r="6" spans="1:9" x14ac:dyDescent="0.3">
      <c r="A6" s="7" t="s">
        <v>136</v>
      </c>
      <c r="B6" s="8">
        <v>3761.1480000000006</v>
      </c>
      <c r="H6" s="7" t="s">
        <v>61</v>
      </c>
      <c r="I6" s="8">
        <v>32667.023999999994</v>
      </c>
    </row>
    <row r="7" spans="1:9" x14ac:dyDescent="0.3">
      <c r="A7" s="7" t="s">
        <v>705</v>
      </c>
      <c r="B7" s="8">
        <v>3745.63</v>
      </c>
      <c r="H7" s="7" t="s">
        <v>827</v>
      </c>
      <c r="I7" s="8">
        <v>77903.809199999989</v>
      </c>
    </row>
    <row r="8" spans="1:9" x14ac:dyDescent="0.3">
      <c r="A8" s="7" t="s">
        <v>55</v>
      </c>
      <c r="B8" s="8">
        <v>3714.3040000000001</v>
      </c>
    </row>
    <row r="9" spans="1:9" x14ac:dyDescent="0.3">
      <c r="A9" s="7" t="s">
        <v>716</v>
      </c>
      <c r="B9" s="8">
        <v>3354.98</v>
      </c>
    </row>
    <row r="10" spans="1:9" x14ac:dyDescent="0.3">
      <c r="A10" s="7" t="s">
        <v>469</v>
      </c>
      <c r="B10" s="8">
        <v>2657.81</v>
      </c>
    </row>
    <row r="11" spans="1:9" x14ac:dyDescent="0.3">
      <c r="A11" s="7" t="s">
        <v>293</v>
      </c>
      <c r="B11" s="8">
        <v>1966.2265000000002</v>
      </c>
    </row>
    <row r="12" spans="1:9" x14ac:dyDescent="0.3">
      <c r="A12" s="7" t="s">
        <v>648</v>
      </c>
      <c r="B12" s="8">
        <v>1816.6960000000001</v>
      </c>
    </row>
    <row r="13" spans="1:9" x14ac:dyDescent="0.3">
      <c r="A13" s="7" t="s">
        <v>583</v>
      </c>
      <c r="B13" s="8">
        <v>1668.9880000000001</v>
      </c>
    </row>
    <row r="14" spans="1:9" x14ac:dyDescent="0.3">
      <c r="A14" s="7" t="s">
        <v>401</v>
      </c>
      <c r="B14" s="8">
        <v>1603.98</v>
      </c>
    </row>
    <row r="15" spans="1:9" x14ac:dyDescent="0.3">
      <c r="A15" s="7" t="s">
        <v>260</v>
      </c>
      <c r="B15" s="8">
        <v>1433.7420000000002</v>
      </c>
    </row>
    <row r="16" spans="1:9" x14ac:dyDescent="0.3">
      <c r="A16" s="7" t="s">
        <v>800</v>
      </c>
      <c r="B16" s="8">
        <v>1410.066</v>
      </c>
    </row>
    <row r="17" spans="1:2" x14ac:dyDescent="0.3">
      <c r="A17" s="7" t="s">
        <v>153</v>
      </c>
      <c r="B17" s="8">
        <v>1288.4640000000002</v>
      </c>
    </row>
    <row r="18" spans="1:2" x14ac:dyDescent="0.3">
      <c r="A18" s="7" t="s">
        <v>240</v>
      </c>
      <c r="B18" s="8">
        <v>1280.992</v>
      </c>
    </row>
    <row r="19" spans="1:2" x14ac:dyDescent="0.3">
      <c r="A19" s="7" t="s">
        <v>159</v>
      </c>
      <c r="B19" s="8">
        <v>1228.9531999999999</v>
      </c>
    </row>
    <row r="20" spans="1:2" x14ac:dyDescent="0.3">
      <c r="A20" s="7" t="s">
        <v>445</v>
      </c>
      <c r="B20" s="8">
        <v>1197.68</v>
      </c>
    </row>
    <row r="21" spans="1:2" x14ac:dyDescent="0.3">
      <c r="A21" s="7" t="s">
        <v>210</v>
      </c>
      <c r="B21" s="8">
        <v>1045.21</v>
      </c>
    </row>
    <row r="22" spans="1:2" x14ac:dyDescent="0.3">
      <c r="A22" s="7" t="s">
        <v>126</v>
      </c>
      <c r="B22" s="8">
        <v>1044.6300000000001</v>
      </c>
    </row>
    <row r="23" spans="1:2" x14ac:dyDescent="0.3">
      <c r="A23" s="7" t="s">
        <v>792</v>
      </c>
      <c r="B23" s="8">
        <v>1038.8399999999999</v>
      </c>
    </row>
    <row r="24" spans="1:2" x14ac:dyDescent="0.3">
      <c r="A24" s="7" t="s">
        <v>22</v>
      </c>
      <c r="B24" s="8">
        <v>993.90000000000009</v>
      </c>
    </row>
    <row r="25" spans="1:2" x14ac:dyDescent="0.3">
      <c r="A25" s="7" t="s">
        <v>46</v>
      </c>
      <c r="B25" s="8">
        <v>979.94550000000004</v>
      </c>
    </row>
    <row r="26" spans="1:2" x14ac:dyDescent="0.3">
      <c r="A26" s="7" t="s">
        <v>496</v>
      </c>
      <c r="B26" s="8">
        <v>959.55</v>
      </c>
    </row>
    <row r="27" spans="1:2" x14ac:dyDescent="0.3">
      <c r="A27" s="7" t="s">
        <v>460</v>
      </c>
      <c r="B27" s="8">
        <v>898.05999999999983</v>
      </c>
    </row>
    <row r="28" spans="1:2" x14ac:dyDescent="0.3">
      <c r="A28" s="7" t="s">
        <v>813</v>
      </c>
      <c r="B28" s="8">
        <v>855.27200000000005</v>
      </c>
    </row>
    <row r="29" spans="1:2" x14ac:dyDescent="0.3">
      <c r="A29" s="7" t="s">
        <v>454</v>
      </c>
      <c r="B29" s="8">
        <v>839.43</v>
      </c>
    </row>
    <row r="30" spans="1:2" x14ac:dyDescent="0.3">
      <c r="A30" s="7" t="s">
        <v>726</v>
      </c>
      <c r="B30" s="8">
        <v>796.32400000000007</v>
      </c>
    </row>
    <row r="31" spans="1:2" x14ac:dyDescent="0.3">
      <c r="A31" s="7" t="s">
        <v>392</v>
      </c>
      <c r="B31" s="8">
        <v>787.53</v>
      </c>
    </row>
    <row r="32" spans="1:2" x14ac:dyDescent="0.3">
      <c r="A32" s="7" t="s">
        <v>768</v>
      </c>
      <c r="B32" s="8">
        <v>725.84</v>
      </c>
    </row>
    <row r="33" spans="1:2" x14ac:dyDescent="0.3">
      <c r="A33" s="7" t="s">
        <v>560</v>
      </c>
      <c r="B33" s="8">
        <v>682.91</v>
      </c>
    </row>
    <row r="34" spans="1:2" x14ac:dyDescent="0.3">
      <c r="A34" s="7" t="s">
        <v>696</v>
      </c>
      <c r="B34" s="8">
        <v>677.94899999999996</v>
      </c>
    </row>
    <row r="35" spans="1:2" x14ac:dyDescent="0.3">
      <c r="A35" s="7" t="s">
        <v>93</v>
      </c>
      <c r="B35" s="8">
        <v>665.88</v>
      </c>
    </row>
    <row r="36" spans="1:2" x14ac:dyDescent="0.3">
      <c r="A36" s="7" t="s">
        <v>218</v>
      </c>
      <c r="B36" s="8">
        <v>655.08999999999992</v>
      </c>
    </row>
    <row r="37" spans="1:2" x14ac:dyDescent="0.3">
      <c r="A37" s="7" t="s">
        <v>669</v>
      </c>
      <c r="B37" s="8">
        <v>646.63000000000011</v>
      </c>
    </row>
    <row r="38" spans="1:2" x14ac:dyDescent="0.3">
      <c r="A38" s="7" t="s">
        <v>660</v>
      </c>
      <c r="B38" s="8">
        <v>627.92399999999998</v>
      </c>
    </row>
    <row r="39" spans="1:2" x14ac:dyDescent="0.3">
      <c r="A39" s="7" t="s">
        <v>413</v>
      </c>
      <c r="B39" s="8">
        <v>617.70000000000005</v>
      </c>
    </row>
    <row r="40" spans="1:2" x14ac:dyDescent="0.3">
      <c r="A40" s="7" t="s">
        <v>409</v>
      </c>
      <c r="B40" s="8">
        <v>600.55799999999999</v>
      </c>
    </row>
    <row r="41" spans="1:2" x14ac:dyDescent="0.3">
      <c r="A41" s="7" t="s">
        <v>676</v>
      </c>
      <c r="B41" s="8">
        <v>551.26400000000001</v>
      </c>
    </row>
    <row r="42" spans="1:2" x14ac:dyDescent="0.3">
      <c r="A42" s="7" t="s">
        <v>188</v>
      </c>
      <c r="B42" s="8">
        <v>513.91999999999996</v>
      </c>
    </row>
    <row r="43" spans="1:2" x14ac:dyDescent="0.3">
      <c r="A43" s="7" t="s">
        <v>533</v>
      </c>
      <c r="B43" s="8">
        <v>472.04399999999998</v>
      </c>
    </row>
    <row r="44" spans="1:2" x14ac:dyDescent="0.3">
      <c r="A44" s="7" t="s">
        <v>493</v>
      </c>
      <c r="B44" s="8">
        <v>457.56799999999998</v>
      </c>
    </row>
    <row r="45" spans="1:2" x14ac:dyDescent="0.3">
      <c r="A45" s="7" t="s">
        <v>631</v>
      </c>
      <c r="B45" s="8">
        <v>444.76799999999997</v>
      </c>
    </row>
    <row r="46" spans="1:2" x14ac:dyDescent="0.3">
      <c r="A46" s="7" t="s">
        <v>721</v>
      </c>
      <c r="B46" s="8">
        <v>442.5</v>
      </c>
    </row>
    <row r="47" spans="1:2" x14ac:dyDescent="0.3">
      <c r="A47" s="7" t="s">
        <v>555</v>
      </c>
      <c r="B47" s="8">
        <v>433.56</v>
      </c>
    </row>
    <row r="48" spans="1:2" x14ac:dyDescent="0.3">
      <c r="A48" s="7" t="s">
        <v>78</v>
      </c>
      <c r="B48" s="8">
        <v>407.976</v>
      </c>
    </row>
    <row r="49" spans="1:2" x14ac:dyDescent="0.3">
      <c r="A49" s="7" t="s">
        <v>656</v>
      </c>
      <c r="B49" s="8">
        <v>395.43599999999998</v>
      </c>
    </row>
    <row r="50" spans="1:2" x14ac:dyDescent="0.3">
      <c r="A50" s="7" t="s">
        <v>806</v>
      </c>
      <c r="B50" s="8">
        <v>380.54600000000005</v>
      </c>
    </row>
    <row r="51" spans="1:2" x14ac:dyDescent="0.3">
      <c r="A51" s="7" t="s">
        <v>352</v>
      </c>
      <c r="B51" s="8">
        <v>378.13799999999998</v>
      </c>
    </row>
    <row r="52" spans="1:2" x14ac:dyDescent="0.3">
      <c r="A52" s="7" t="s">
        <v>636</v>
      </c>
      <c r="B52" s="8">
        <v>376.09999999999997</v>
      </c>
    </row>
    <row r="53" spans="1:2" x14ac:dyDescent="0.3">
      <c r="A53" s="7" t="s">
        <v>476</v>
      </c>
      <c r="B53" s="8">
        <v>361.10399999999998</v>
      </c>
    </row>
    <row r="54" spans="1:2" x14ac:dyDescent="0.3">
      <c r="A54" s="7" t="s">
        <v>367</v>
      </c>
      <c r="B54" s="8">
        <v>339.96</v>
      </c>
    </row>
    <row r="55" spans="1:2" x14ac:dyDescent="0.3">
      <c r="A55" s="7" t="s">
        <v>745</v>
      </c>
      <c r="B55" s="8">
        <v>328.22399999999999</v>
      </c>
    </row>
    <row r="56" spans="1:2" x14ac:dyDescent="0.3">
      <c r="A56" s="7" t="s">
        <v>712</v>
      </c>
      <c r="B56" s="8">
        <v>321.56799999999998</v>
      </c>
    </row>
    <row r="57" spans="1:2" x14ac:dyDescent="0.3">
      <c r="A57" s="7" t="s">
        <v>424</v>
      </c>
      <c r="B57" s="8">
        <v>319.98400000000004</v>
      </c>
    </row>
    <row r="58" spans="1:2" x14ac:dyDescent="0.3">
      <c r="A58" s="7" t="s">
        <v>228</v>
      </c>
      <c r="B58" s="8">
        <v>266.29399999999998</v>
      </c>
    </row>
    <row r="59" spans="1:2" x14ac:dyDescent="0.3">
      <c r="A59" s="7" t="s">
        <v>731</v>
      </c>
      <c r="B59" s="8">
        <v>259.44</v>
      </c>
    </row>
    <row r="60" spans="1:2" x14ac:dyDescent="0.3">
      <c r="A60" s="7" t="s">
        <v>434</v>
      </c>
      <c r="B60" s="8">
        <v>256.19599999999997</v>
      </c>
    </row>
    <row r="61" spans="1:2" x14ac:dyDescent="0.3">
      <c r="A61" s="7" t="s">
        <v>418</v>
      </c>
      <c r="B61" s="8">
        <v>246.38</v>
      </c>
    </row>
    <row r="62" spans="1:2" x14ac:dyDescent="0.3">
      <c r="A62" s="7" t="s">
        <v>482</v>
      </c>
      <c r="B62" s="8">
        <v>244.78</v>
      </c>
    </row>
    <row r="63" spans="1:2" x14ac:dyDescent="0.3">
      <c r="A63" s="7" t="s">
        <v>105</v>
      </c>
      <c r="B63" s="8">
        <v>244.76</v>
      </c>
    </row>
    <row r="64" spans="1:2" x14ac:dyDescent="0.3">
      <c r="A64" s="7" t="s">
        <v>276</v>
      </c>
      <c r="B64" s="8">
        <v>224.9</v>
      </c>
    </row>
    <row r="65" spans="1:2" x14ac:dyDescent="0.3">
      <c r="A65" s="7" t="s">
        <v>616</v>
      </c>
      <c r="B65" s="8">
        <v>221.35</v>
      </c>
    </row>
    <row r="66" spans="1:2" x14ac:dyDescent="0.3">
      <c r="A66" s="7" t="s">
        <v>235</v>
      </c>
      <c r="B66" s="8">
        <v>213.11500000000001</v>
      </c>
    </row>
    <row r="67" spans="1:2" x14ac:dyDescent="0.3">
      <c r="A67" s="7" t="s">
        <v>201</v>
      </c>
      <c r="B67" s="8">
        <v>209.55</v>
      </c>
    </row>
    <row r="68" spans="1:2" x14ac:dyDescent="0.3">
      <c r="A68" s="7" t="s">
        <v>288</v>
      </c>
      <c r="B68" s="8">
        <v>200.98400000000001</v>
      </c>
    </row>
    <row r="69" spans="1:2" x14ac:dyDescent="0.3">
      <c r="A69" s="7" t="s">
        <v>383</v>
      </c>
      <c r="B69" s="8">
        <v>199.256</v>
      </c>
    </row>
    <row r="70" spans="1:2" x14ac:dyDescent="0.3">
      <c r="A70" s="7" t="s">
        <v>574</v>
      </c>
      <c r="B70" s="8">
        <v>176.8</v>
      </c>
    </row>
    <row r="71" spans="1:2" x14ac:dyDescent="0.3">
      <c r="A71" s="7" t="s">
        <v>448</v>
      </c>
      <c r="B71" s="8">
        <v>163.38</v>
      </c>
    </row>
    <row r="72" spans="1:2" x14ac:dyDescent="0.3">
      <c r="A72" s="7" t="s">
        <v>342</v>
      </c>
      <c r="B72" s="8">
        <v>162.38800000000001</v>
      </c>
    </row>
    <row r="73" spans="1:2" x14ac:dyDescent="0.3">
      <c r="A73" s="7" t="s">
        <v>428</v>
      </c>
      <c r="B73" s="8">
        <v>159.72999999999999</v>
      </c>
    </row>
    <row r="74" spans="1:2" x14ac:dyDescent="0.3">
      <c r="A74" s="7" t="s">
        <v>307</v>
      </c>
      <c r="B74" s="8">
        <v>158.36799999999999</v>
      </c>
    </row>
    <row r="75" spans="1:2" x14ac:dyDescent="0.3">
      <c r="A75" s="7" t="s">
        <v>396</v>
      </c>
      <c r="B75" s="8">
        <v>157.79400000000001</v>
      </c>
    </row>
    <row r="76" spans="1:2" x14ac:dyDescent="0.3">
      <c r="A76" s="7" t="s">
        <v>166</v>
      </c>
      <c r="B76" s="8">
        <v>147.16800000000001</v>
      </c>
    </row>
    <row r="77" spans="1:2" x14ac:dyDescent="0.3">
      <c r="A77" s="7" t="s">
        <v>782</v>
      </c>
      <c r="B77" s="8">
        <v>114.376</v>
      </c>
    </row>
    <row r="78" spans="1:2" x14ac:dyDescent="0.3">
      <c r="A78" s="7" t="s">
        <v>360</v>
      </c>
      <c r="B78" s="8">
        <v>105.408</v>
      </c>
    </row>
    <row r="79" spans="1:2" x14ac:dyDescent="0.3">
      <c r="A79" s="7" t="s">
        <v>376</v>
      </c>
      <c r="B79" s="8">
        <v>103.19999999999999</v>
      </c>
    </row>
    <row r="80" spans="1:2" x14ac:dyDescent="0.3">
      <c r="A80" s="7" t="s">
        <v>130</v>
      </c>
      <c r="B80" s="8">
        <v>102.21799999999999</v>
      </c>
    </row>
    <row r="81" spans="1:2" x14ac:dyDescent="0.3">
      <c r="A81" s="7" t="s">
        <v>311</v>
      </c>
      <c r="B81" s="8">
        <v>100.164</v>
      </c>
    </row>
    <row r="82" spans="1:2" x14ac:dyDescent="0.3">
      <c r="A82" s="7" t="s">
        <v>316</v>
      </c>
      <c r="B82" s="8">
        <v>99.260000000000019</v>
      </c>
    </row>
    <row r="83" spans="1:2" x14ac:dyDescent="0.3">
      <c r="A83" s="7" t="s">
        <v>544</v>
      </c>
      <c r="B83" s="8">
        <v>97.263999999999996</v>
      </c>
    </row>
    <row r="84" spans="1:2" x14ac:dyDescent="0.3">
      <c r="A84" s="7" t="s">
        <v>329</v>
      </c>
      <c r="B84" s="8">
        <v>96.53</v>
      </c>
    </row>
    <row r="85" spans="1:2" x14ac:dyDescent="0.3">
      <c r="A85" s="7" t="s">
        <v>176</v>
      </c>
      <c r="B85" s="8">
        <v>95.616</v>
      </c>
    </row>
    <row r="86" spans="1:2" x14ac:dyDescent="0.3">
      <c r="A86" s="7" t="s">
        <v>762</v>
      </c>
      <c r="B86" s="8">
        <v>94.783999999999992</v>
      </c>
    </row>
    <row r="87" spans="1:2" x14ac:dyDescent="0.3">
      <c r="A87" s="7" t="s">
        <v>464</v>
      </c>
      <c r="B87" s="8">
        <v>93.888000000000005</v>
      </c>
    </row>
    <row r="88" spans="1:2" x14ac:dyDescent="0.3">
      <c r="A88" s="7" t="s">
        <v>749</v>
      </c>
      <c r="B88" s="8">
        <v>79.900000000000006</v>
      </c>
    </row>
    <row r="89" spans="1:2" x14ac:dyDescent="0.3">
      <c r="A89" s="7" t="s">
        <v>112</v>
      </c>
      <c r="B89" s="8">
        <v>79.800000000000011</v>
      </c>
    </row>
    <row r="90" spans="1:2" x14ac:dyDescent="0.3">
      <c r="A90" s="7" t="s">
        <v>337</v>
      </c>
      <c r="B90" s="8">
        <v>77.88</v>
      </c>
    </row>
    <row r="91" spans="1:2" x14ac:dyDescent="0.3">
      <c r="A91" s="7" t="s">
        <v>172</v>
      </c>
      <c r="B91" s="8">
        <v>77.88</v>
      </c>
    </row>
    <row r="92" spans="1:2" x14ac:dyDescent="0.3">
      <c r="A92" s="7" t="s">
        <v>247</v>
      </c>
      <c r="B92" s="8">
        <v>75.88</v>
      </c>
    </row>
    <row r="93" spans="1:2" x14ac:dyDescent="0.3">
      <c r="A93" s="7" t="s">
        <v>539</v>
      </c>
      <c r="B93" s="8">
        <v>72.608000000000004</v>
      </c>
    </row>
    <row r="94" spans="1:2" x14ac:dyDescent="0.3">
      <c r="A94" s="7" t="s">
        <v>119</v>
      </c>
      <c r="B94" s="8">
        <v>71.372</v>
      </c>
    </row>
    <row r="95" spans="1:2" x14ac:dyDescent="0.3">
      <c r="A95" s="7" t="s">
        <v>84</v>
      </c>
      <c r="B95" s="8">
        <v>71.353999999999999</v>
      </c>
    </row>
    <row r="96" spans="1:2" x14ac:dyDescent="0.3">
      <c r="A96" s="7" t="s">
        <v>194</v>
      </c>
      <c r="B96" s="8">
        <v>66.8</v>
      </c>
    </row>
    <row r="97" spans="1:2" x14ac:dyDescent="0.3">
      <c r="A97" s="7" t="s">
        <v>622</v>
      </c>
      <c r="B97" s="8">
        <v>66.284000000000006</v>
      </c>
    </row>
    <row r="98" spans="1:2" x14ac:dyDescent="0.3">
      <c r="A98" s="7" t="s">
        <v>181</v>
      </c>
      <c r="B98" s="8">
        <v>63.44</v>
      </c>
    </row>
    <row r="99" spans="1:2" x14ac:dyDescent="0.3">
      <c r="A99" s="7" t="s">
        <v>578</v>
      </c>
      <c r="B99" s="8">
        <v>57.239999999999995</v>
      </c>
    </row>
    <row r="100" spans="1:2" x14ac:dyDescent="0.3">
      <c r="A100" s="7" t="s">
        <v>99</v>
      </c>
      <c r="B100" s="8">
        <v>55.5</v>
      </c>
    </row>
    <row r="101" spans="1:2" x14ac:dyDescent="0.3">
      <c r="A101" s="7" t="s">
        <v>507</v>
      </c>
      <c r="B101" s="8">
        <v>54.384</v>
      </c>
    </row>
    <row r="102" spans="1:2" x14ac:dyDescent="0.3">
      <c r="A102" s="7" t="s">
        <v>333</v>
      </c>
      <c r="B102" s="8">
        <v>51.311999999999998</v>
      </c>
    </row>
    <row r="103" spans="1:2" x14ac:dyDescent="0.3">
      <c r="A103" s="7" t="s">
        <v>600</v>
      </c>
      <c r="B103" s="8">
        <v>46.26</v>
      </c>
    </row>
    <row r="104" spans="1:2" x14ac:dyDescent="0.3">
      <c r="A104" s="7" t="s">
        <v>372</v>
      </c>
      <c r="B104" s="8">
        <v>41.96</v>
      </c>
    </row>
    <row r="105" spans="1:2" x14ac:dyDescent="0.3">
      <c r="A105" s="7" t="s">
        <v>268</v>
      </c>
      <c r="B105" s="8">
        <v>38.195999999999998</v>
      </c>
    </row>
    <row r="106" spans="1:2" x14ac:dyDescent="0.3">
      <c r="A106" s="7" t="s">
        <v>283</v>
      </c>
      <c r="B106" s="8">
        <v>36.29</v>
      </c>
    </row>
    <row r="107" spans="1:2" x14ac:dyDescent="0.3">
      <c r="A107" s="7" t="s">
        <v>627</v>
      </c>
      <c r="B107" s="8">
        <v>35.167999999999999</v>
      </c>
    </row>
    <row r="108" spans="1:2" x14ac:dyDescent="0.3">
      <c r="A108" s="7" t="s">
        <v>301</v>
      </c>
      <c r="B108" s="8">
        <v>33.71</v>
      </c>
    </row>
    <row r="109" spans="1:2" x14ac:dyDescent="0.3">
      <c r="A109" s="7" t="s">
        <v>147</v>
      </c>
      <c r="B109" s="8">
        <v>29.472000000000001</v>
      </c>
    </row>
    <row r="110" spans="1:2" x14ac:dyDescent="0.3">
      <c r="A110" s="7" t="s">
        <v>511</v>
      </c>
      <c r="B110" s="8">
        <v>28.4</v>
      </c>
    </row>
    <row r="111" spans="1:2" x14ac:dyDescent="0.3">
      <c r="A111" s="7" t="s">
        <v>517</v>
      </c>
      <c r="B111" s="8">
        <v>27.68</v>
      </c>
    </row>
    <row r="112" spans="1:2" x14ac:dyDescent="0.3">
      <c r="A112" s="7" t="s">
        <v>348</v>
      </c>
      <c r="B112" s="8">
        <v>23.92</v>
      </c>
    </row>
    <row r="113" spans="1:2" x14ac:dyDescent="0.3">
      <c r="A113" s="7" t="s">
        <v>611</v>
      </c>
      <c r="B113" s="8">
        <v>21.744</v>
      </c>
    </row>
    <row r="114" spans="1:2" x14ac:dyDescent="0.3">
      <c r="A114" s="7" t="s">
        <v>644</v>
      </c>
      <c r="B114" s="8">
        <v>20.8</v>
      </c>
    </row>
    <row r="115" spans="1:2" x14ac:dyDescent="0.3">
      <c r="A115" s="7" t="s">
        <v>606</v>
      </c>
      <c r="B115" s="8">
        <v>19.002000000000002</v>
      </c>
    </row>
    <row r="116" spans="1:2" x14ac:dyDescent="0.3">
      <c r="A116" s="7" t="s">
        <v>681</v>
      </c>
      <c r="B116" s="8">
        <v>18.648</v>
      </c>
    </row>
    <row r="117" spans="1:2" x14ac:dyDescent="0.3">
      <c r="A117" s="7" t="s">
        <v>71</v>
      </c>
      <c r="B117" s="8">
        <v>15.552</v>
      </c>
    </row>
    <row r="118" spans="1:2" x14ac:dyDescent="0.3">
      <c r="A118" s="7" t="s">
        <v>776</v>
      </c>
      <c r="B118" s="8">
        <v>14.8</v>
      </c>
    </row>
    <row r="119" spans="1:2" x14ac:dyDescent="0.3">
      <c r="A119" s="7" t="s">
        <v>35</v>
      </c>
      <c r="B119" s="8">
        <v>14.62</v>
      </c>
    </row>
    <row r="120" spans="1:2" x14ac:dyDescent="0.3">
      <c r="A120" s="7" t="s">
        <v>590</v>
      </c>
      <c r="B120" s="8">
        <v>14.28</v>
      </c>
    </row>
    <row r="121" spans="1:2" x14ac:dyDescent="0.3">
      <c r="A121" s="7" t="s">
        <v>754</v>
      </c>
      <c r="B121" s="8">
        <v>14.016</v>
      </c>
    </row>
    <row r="122" spans="1:2" x14ac:dyDescent="0.3">
      <c r="A122" s="7" t="s">
        <v>594</v>
      </c>
      <c r="B122" s="8">
        <v>13.456</v>
      </c>
    </row>
    <row r="123" spans="1:2" x14ac:dyDescent="0.3">
      <c r="A123" s="7" t="s">
        <v>691</v>
      </c>
      <c r="B123" s="8">
        <v>10.56</v>
      </c>
    </row>
    <row r="124" spans="1:2" x14ac:dyDescent="0.3">
      <c r="A124" s="7" t="s">
        <v>568</v>
      </c>
      <c r="B124" s="8">
        <v>7.16</v>
      </c>
    </row>
    <row r="125" spans="1:2" x14ac:dyDescent="0.3">
      <c r="A125" s="7" t="s">
        <v>489</v>
      </c>
      <c r="B125" s="8">
        <v>6.63</v>
      </c>
    </row>
    <row r="126" spans="1:2" x14ac:dyDescent="0.3">
      <c r="A126" s="7" t="s">
        <v>503</v>
      </c>
      <c r="B126" s="8">
        <v>5.98</v>
      </c>
    </row>
    <row r="127" spans="1:2" x14ac:dyDescent="0.3">
      <c r="A127" s="7" t="s">
        <v>323</v>
      </c>
      <c r="B127" s="8">
        <v>5.6820000000000004</v>
      </c>
    </row>
    <row r="128" spans="1:2" x14ac:dyDescent="0.3">
      <c r="A128" s="7" t="s">
        <v>253</v>
      </c>
      <c r="B128" s="8">
        <v>4.6159999999999997</v>
      </c>
    </row>
    <row r="129" spans="1:2" x14ac:dyDescent="0.3">
      <c r="A129" s="7" t="s">
        <v>551</v>
      </c>
      <c r="B129" s="8">
        <v>3.28</v>
      </c>
    </row>
    <row r="130" spans="1:2" x14ac:dyDescent="0.3">
      <c r="A130" s="7" t="s">
        <v>737</v>
      </c>
      <c r="B130" s="8">
        <v>1.6240000000000001</v>
      </c>
    </row>
    <row r="131" spans="1:2" x14ac:dyDescent="0.3">
      <c r="A131" s="7" t="s">
        <v>827</v>
      </c>
      <c r="B131" s="8">
        <v>77903.80919999996</v>
      </c>
    </row>
  </sheetData>
  <conditionalFormatting sqref="A4:B130">
    <cfRule type="top10" dxfId="1" priority="1" rank="5"/>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23C4-59F1-4F91-AAE9-D2AB51FF363F}">
  <dimension ref="A3:B16"/>
  <sheetViews>
    <sheetView workbookViewId="0">
      <selection activeCell="O10" sqref="O10"/>
    </sheetView>
  </sheetViews>
  <sheetFormatPr defaultRowHeight="14.4" x14ac:dyDescent="0.3"/>
  <cols>
    <col min="1" max="1" width="12.44140625" bestFit="1" customWidth="1"/>
    <col min="2" max="2" width="11.21875" bestFit="1" customWidth="1"/>
  </cols>
  <sheetData>
    <row r="3" spans="1:2" x14ac:dyDescent="0.3">
      <c r="A3" s="6" t="s">
        <v>826</v>
      </c>
      <c r="B3" t="s">
        <v>828</v>
      </c>
    </row>
    <row r="4" spans="1:2" x14ac:dyDescent="0.3">
      <c r="A4" s="7" t="s">
        <v>830</v>
      </c>
      <c r="B4" s="8">
        <v>5071.6960000000008</v>
      </c>
    </row>
    <row r="5" spans="1:2" x14ac:dyDescent="0.3">
      <c r="A5" s="7" t="s">
        <v>831</v>
      </c>
      <c r="B5" s="8">
        <v>4354.0599999999995</v>
      </c>
    </row>
    <row r="6" spans="1:2" x14ac:dyDescent="0.3">
      <c r="A6" s="7" t="s">
        <v>832</v>
      </c>
      <c r="B6" s="8">
        <v>935.26200000000006</v>
      </c>
    </row>
    <row r="7" spans="1:2" x14ac:dyDescent="0.3">
      <c r="A7" s="7" t="s">
        <v>833</v>
      </c>
      <c r="B7" s="8">
        <v>2291.0699999999997</v>
      </c>
    </row>
    <row r="8" spans="1:2" x14ac:dyDescent="0.3">
      <c r="A8" s="7" t="s">
        <v>834</v>
      </c>
      <c r="B8" s="8">
        <v>6506.5940000000001</v>
      </c>
    </row>
    <row r="9" spans="1:2" x14ac:dyDescent="0.3">
      <c r="A9" s="7" t="s">
        <v>835</v>
      </c>
      <c r="B9" s="8">
        <v>1605.9939999999999</v>
      </c>
    </row>
    <row r="10" spans="1:2" x14ac:dyDescent="0.3">
      <c r="A10" s="7" t="s">
        <v>836</v>
      </c>
      <c r="B10" s="8">
        <v>2882.8825000000006</v>
      </c>
    </row>
    <row r="11" spans="1:2" x14ac:dyDescent="0.3">
      <c r="A11" s="7" t="s">
        <v>837</v>
      </c>
      <c r="B11" s="8">
        <v>13607.088</v>
      </c>
    </row>
    <row r="12" spans="1:2" x14ac:dyDescent="0.3">
      <c r="A12" s="7" t="s">
        <v>838</v>
      </c>
      <c r="B12" s="8">
        <v>17710.742000000002</v>
      </c>
    </row>
    <row r="13" spans="1:2" x14ac:dyDescent="0.3">
      <c r="A13" s="7" t="s">
        <v>839</v>
      </c>
      <c r="B13" s="8">
        <v>3587.7340000000004</v>
      </c>
    </row>
    <row r="14" spans="1:2" x14ac:dyDescent="0.3">
      <c r="A14" s="7" t="s">
        <v>840</v>
      </c>
      <c r="B14" s="8">
        <v>10453.877499999999</v>
      </c>
    </row>
    <row r="15" spans="1:2" x14ac:dyDescent="0.3">
      <c r="A15" s="7" t="s">
        <v>841</v>
      </c>
      <c r="B15" s="8">
        <v>8896.8091999999997</v>
      </c>
    </row>
    <row r="16" spans="1:2" x14ac:dyDescent="0.3">
      <c r="A16" s="7" t="s">
        <v>827</v>
      </c>
      <c r="B16" s="8">
        <v>77903.809200000003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BF3F3-E365-4695-BE0F-B3DD134B04DF}">
  <dimension ref="A2:X21"/>
  <sheetViews>
    <sheetView topLeftCell="B1" workbookViewId="0">
      <selection activeCell="Q9" sqref="Q9:R14"/>
    </sheetView>
  </sheetViews>
  <sheetFormatPr defaultRowHeight="14.4" x14ac:dyDescent="0.3"/>
  <cols>
    <col min="8" max="8" width="10.5546875" customWidth="1"/>
    <col min="9" max="9" width="12.88671875" customWidth="1"/>
    <col min="10" max="10" width="15.5546875" customWidth="1"/>
    <col min="11" max="11" width="15.6640625" bestFit="1" customWidth="1"/>
    <col min="12" max="12" width="13.88671875" customWidth="1"/>
    <col min="13" max="13" width="12.6640625" bestFit="1" customWidth="1"/>
    <col min="14" max="14" width="14.44140625" customWidth="1"/>
    <col min="15" max="15" width="13.77734375" customWidth="1"/>
    <col min="16" max="16" width="13.88671875" customWidth="1"/>
  </cols>
  <sheetData>
    <row r="2" spans="1:24" x14ac:dyDescent="0.3">
      <c r="K2" s="30" t="s">
        <v>845</v>
      </c>
      <c r="L2" s="30"/>
    </row>
    <row r="3" spans="1:24" x14ac:dyDescent="0.3">
      <c r="A3" s="11"/>
      <c r="B3" s="11"/>
      <c r="K3" s="30"/>
      <c r="L3" s="30"/>
    </row>
    <row r="6" spans="1:24" x14ac:dyDescent="0.3">
      <c r="K6" s="29" t="s">
        <v>846</v>
      </c>
      <c r="L6" s="29"/>
    </row>
    <row r="7" spans="1:24" x14ac:dyDescent="0.3">
      <c r="K7" t="s">
        <v>869</v>
      </c>
      <c r="L7" t="s">
        <v>870</v>
      </c>
      <c r="P7" s="10"/>
      <c r="Q7" s="10"/>
      <c r="R7" s="10"/>
      <c r="S7" s="10"/>
      <c r="T7" s="10"/>
      <c r="U7" s="10"/>
    </row>
    <row r="8" spans="1:24" x14ac:dyDescent="0.3">
      <c r="K8" t="s">
        <v>847</v>
      </c>
      <c r="L8">
        <v>0.39297972931770081</v>
      </c>
    </row>
    <row r="9" spans="1:24" ht="17.399999999999999" x14ac:dyDescent="0.45">
      <c r="K9" t="s">
        <v>848</v>
      </c>
      <c r="L9">
        <v>0.1544330676546134</v>
      </c>
      <c r="Q9" s="28"/>
      <c r="R9" s="28"/>
    </row>
    <row r="10" spans="1:24" x14ac:dyDescent="0.3">
      <c r="K10" t="s">
        <v>849</v>
      </c>
      <c r="L10">
        <v>0.1515955947272799</v>
      </c>
    </row>
    <row r="11" spans="1:24" x14ac:dyDescent="0.3">
      <c r="A11" s="10"/>
      <c r="B11" s="10"/>
      <c r="C11" s="10"/>
      <c r="D11" s="10"/>
      <c r="E11" s="10"/>
      <c r="F11" s="10"/>
      <c r="K11" t="s">
        <v>850</v>
      </c>
      <c r="L11">
        <v>161.62554659836766</v>
      </c>
    </row>
    <row r="12" spans="1:24" x14ac:dyDescent="0.3">
      <c r="K12" t="s">
        <v>851</v>
      </c>
      <c r="L12">
        <v>300</v>
      </c>
      <c r="P12" s="10"/>
      <c r="S12" s="10"/>
      <c r="T12" s="10"/>
      <c r="U12" s="10"/>
      <c r="V12" s="10"/>
      <c r="W12" s="10"/>
      <c r="X12" s="10"/>
    </row>
    <row r="14" spans="1:24" x14ac:dyDescent="0.3">
      <c r="I14" s="10" t="s">
        <v>869</v>
      </c>
      <c r="J14" s="10" t="s">
        <v>856</v>
      </c>
      <c r="K14" s="10" t="s">
        <v>857</v>
      </c>
      <c r="L14" s="10" t="s">
        <v>858</v>
      </c>
      <c r="M14" s="10" t="s">
        <v>859</v>
      </c>
      <c r="N14" s="10" t="s">
        <v>860</v>
      </c>
    </row>
    <row r="15" spans="1:24" x14ac:dyDescent="0.3">
      <c r="I15" t="s">
        <v>852</v>
      </c>
      <c r="J15">
        <v>1</v>
      </c>
      <c r="K15">
        <v>1421767.5081936056</v>
      </c>
      <c r="L15">
        <v>1421767.5081936056</v>
      </c>
      <c r="M15">
        <v>54.426269997839384</v>
      </c>
      <c r="N15">
        <v>1.6126948538424931E-12</v>
      </c>
    </row>
    <row r="16" spans="1:24" x14ac:dyDescent="0.3">
      <c r="A16" s="10"/>
      <c r="B16" s="10"/>
      <c r="C16" s="10"/>
      <c r="D16" s="10"/>
      <c r="E16" s="10"/>
      <c r="F16" s="10"/>
      <c r="G16" s="10"/>
      <c r="H16" s="10"/>
      <c r="I16" t="s">
        <v>853</v>
      </c>
      <c r="J16">
        <v>298</v>
      </c>
      <c r="K16">
        <v>7784599.5593398931</v>
      </c>
      <c r="L16">
        <v>26122.817313221116</v>
      </c>
    </row>
    <row r="17" spans="8:16" x14ac:dyDescent="0.3">
      <c r="I17" t="s">
        <v>854</v>
      </c>
      <c r="J17">
        <v>299</v>
      </c>
      <c r="K17">
        <v>9206367.0675334986</v>
      </c>
    </row>
    <row r="19" spans="8:16" x14ac:dyDescent="0.3">
      <c r="H19" s="10" t="s">
        <v>869</v>
      </c>
      <c r="I19" s="10" t="s">
        <v>861</v>
      </c>
      <c r="J19" s="10" t="s">
        <v>850</v>
      </c>
      <c r="K19" s="10" t="s">
        <v>862</v>
      </c>
      <c r="L19" s="10" t="s">
        <v>863</v>
      </c>
      <c r="M19" s="10" t="s">
        <v>864</v>
      </c>
      <c r="N19" s="10" t="s">
        <v>865</v>
      </c>
      <c r="O19" s="10" t="s">
        <v>866</v>
      </c>
      <c r="P19" s="10" t="s">
        <v>867</v>
      </c>
    </row>
    <row r="20" spans="8:16" x14ac:dyDescent="0.3">
      <c r="H20" t="s">
        <v>855</v>
      </c>
      <c r="I20">
        <v>56.144369627006114</v>
      </c>
      <c r="J20">
        <v>12.185053276307778</v>
      </c>
      <c r="K20">
        <v>4.6076425234981455</v>
      </c>
      <c r="L20">
        <v>6.0445771701067716E-6</v>
      </c>
      <c r="M20">
        <v>32.164714749885846</v>
      </c>
      <c r="N20">
        <v>80.124024504126382</v>
      </c>
      <c r="O20">
        <v>32.164714749885846</v>
      </c>
      <c r="P20">
        <v>80.124024504126382</v>
      </c>
    </row>
    <row r="21" spans="8:16" x14ac:dyDescent="0.3">
      <c r="H21" t="s">
        <v>868</v>
      </c>
      <c r="I21">
        <v>-316.63950316052217</v>
      </c>
      <c r="J21">
        <v>42.920108336871493</v>
      </c>
      <c r="K21">
        <v>-7.3774162142201725</v>
      </c>
      <c r="L21">
        <v>1.6126948538429725E-12</v>
      </c>
      <c r="M21">
        <v>-401.10440962161675</v>
      </c>
      <c r="N21">
        <v>-232.17459669942758</v>
      </c>
      <c r="O21">
        <v>-401.10440962161675</v>
      </c>
      <c r="P21">
        <v>-232.17459669942758</v>
      </c>
    </row>
  </sheetData>
  <mergeCells count="3">
    <mergeCell ref="Q9:R9"/>
    <mergeCell ref="K6:L6"/>
    <mergeCell ref="K2:L3"/>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2C114-8507-46F5-91FB-7853DBD52658}">
  <dimension ref="I3:J15"/>
  <sheetViews>
    <sheetView workbookViewId="0">
      <selection activeCell="I19" sqref="I19"/>
    </sheetView>
  </sheetViews>
  <sheetFormatPr defaultRowHeight="14.4" x14ac:dyDescent="0.3"/>
  <cols>
    <col min="10" max="10" width="70.77734375" bestFit="1" customWidth="1"/>
  </cols>
  <sheetData>
    <row r="3" spans="9:10" x14ac:dyDescent="0.3">
      <c r="I3" s="31" t="s">
        <v>890</v>
      </c>
      <c r="J3" s="31"/>
    </row>
    <row r="4" spans="9:10" x14ac:dyDescent="0.3">
      <c r="I4" s="31"/>
      <c r="J4" s="31"/>
    </row>
    <row r="6" spans="9:10" x14ac:dyDescent="0.3">
      <c r="I6" s="2" t="s">
        <v>878</v>
      </c>
      <c r="J6" s="2" t="s">
        <v>879</v>
      </c>
    </row>
    <row r="7" spans="9:10" x14ac:dyDescent="0.3">
      <c r="I7">
        <v>1</v>
      </c>
      <c r="J7" t="s">
        <v>880</v>
      </c>
    </row>
    <row r="8" spans="9:10" x14ac:dyDescent="0.3">
      <c r="I8">
        <v>2</v>
      </c>
      <c r="J8" t="s">
        <v>882</v>
      </c>
    </row>
    <row r="9" spans="9:10" x14ac:dyDescent="0.3">
      <c r="I9">
        <v>3</v>
      </c>
      <c r="J9" t="s">
        <v>883</v>
      </c>
    </row>
    <row r="10" spans="9:10" x14ac:dyDescent="0.3">
      <c r="I10">
        <v>4</v>
      </c>
      <c r="J10" t="s">
        <v>884</v>
      </c>
    </row>
    <row r="11" spans="9:10" x14ac:dyDescent="0.3">
      <c r="I11">
        <v>5</v>
      </c>
      <c r="J11" t="s">
        <v>885</v>
      </c>
    </row>
    <row r="12" spans="9:10" x14ac:dyDescent="0.3">
      <c r="I12">
        <v>6</v>
      </c>
      <c r="J12" t="s">
        <v>886</v>
      </c>
    </row>
    <row r="13" spans="9:10" x14ac:dyDescent="0.3">
      <c r="I13">
        <v>7</v>
      </c>
      <c r="J13" t="s">
        <v>888</v>
      </c>
    </row>
    <row r="14" spans="9:10" x14ac:dyDescent="0.3">
      <c r="I14">
        <v>8</v>
      </c>
      <c r="J14" t="s">
        <v>887</v>
      </c>
    </row>
    <row r="15" spans="9:10" x14ac:dyDescent="0.3">
      <c r="I15">
        <v>9</v>
      </c>
      <c r="J15" t="s">
        <v>889</v>
      </c>
    </row>
  </sheetData>
  <mergeCells count="1">
    <mergeCell ref="I3:J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DASHBOARD</vt:lpstr>
      <vt:lpstr>Charts 1</vt:lpstr>
      <vt:lpstr>Sales Per Customer</vt:lpstr>
      <vt:lpstr>Monthly Sales</vt:lpstr>
      <vt:lpstr>Regression</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CHAUHAN</cp:lastModifiedBy>
  <dcterms:created xsi:type="dcterms:W3CDTF">2026-02-28T06:48:13Z</dcterms:created>
  <dcterms:modified xsi:type="dcterms:W3CDTF">2026-03-01T07:04:23Z</dcterms:modified>
</cp:coreProperties>
</file>