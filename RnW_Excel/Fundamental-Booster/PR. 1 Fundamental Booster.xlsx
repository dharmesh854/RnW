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vc871\Downloads\"/>
    </mc:Choice>
  </mc:AlternateContent>
  <xr:revisionPtr revIDLastSave="0" documentId="13_ncr:1_{411BAA78-E70D-494B-8581-5B2D9A3500F9}" xr6:coauthVersionLast="47" xr6:coauthVersionMax="47" xr10:uidLastSave="{00000000-0000-0000-0000-000000000000}"/>
  <bookViews>
    <workbookView xWindow="-108" yWindow="-108" windowWidth="23256" windowHeight="13176" activeTab="1"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6" i="4" l="1"/>
  <c r="D26" i="4"/>
  <c r="L8" i="2" a="1"/>
  <c r="L8" i="2" s="1"/>
  <c r="I3" i="3"/>
  <c r="J3" i="3"/>
  <c r="I4" i="3"/>
  <c r="J4" i="3"/>
  <c r="I5" i="3"/>
  <c r="J5" i="3"/>
  <c r="I6" i="3"/>
  <c r="J6" i="3"/>
  <c r="I7" i="3"/>
  <c r="J7" i="3"/>
  <c r="I8" i="3"/>
  <c r="J8" i="3"/>
  <c r="I9" i="3"/>
  <c r="J9" i="3"/>
  <c r="I10" i="3"/>
  <c r="J10" i="3"/>
  <c r="I11" i="3"/>
  <c r="J11" i="3"/>
  <c r="I12" i="3"/>
  <c r="J12" i="3"/>
  <c r="I13" i="3"/>
  <c r="J13" i="3"/>
  <c r="I14" i="3"/>
  <c r="J14" i="3"/>
  <c r="I15" i="3"/>
  <c r="J15" i="3"/>
  <c r="I16" i="3"/>
  <c r="J16" i="3"/>
  <c r="I17" i="3"/>
  <c r="J17" i="3"/>
  <c r="I18" i="3"/>
  <c r="J18" i="3"/>
  <c r="I19" i="3"/>
  <c r="J19" i="3"/>
  <c r="I20" i="3"/>
  <c r="J20" i="3"/>
  <c r="I21" i="3"/>
  <c r="J21" i="3"/>
  <c r="H3" i="3"/>
  <c r="H4" i="3"/>
  <c r="H5" i="3"/>
  <c r="H6" i="3"/>
  <c r="H7" i="3"/>
  <c r="H8" i="3"/>
  <c r="H9" i="3"/>
  <c r="H10" i="3"/>
  <c r="H11" i="3"/>
  <c r="H12" i="3"/>
  <c r="H13" i="3"/>
  <c r="H14" i="3"/>
  <c r="H15" i="3"/>
  <c r="H16" i="3"/>
  <c r="H17" i="3"/>
  <c r="H18" i="3"/>
  <c r="H19" i="3"/>
  <c r="H20" i="3"/>
  <c r="H21" i="3"/>
  <c r="J2" i="3"/>
  <c r="I2" i="3"/>
  <c r="H2" i="3"/>
  <c r="J3" i="2"/>
  <c r="J4" i="2"/>
  <c r="J5" i="2"/>
  <c r="J6" i="2"/>
  <c r="J7" i="2"/>
  <c r="J8" i="2"/>
  <c r="J9" i="2"/>
  <c r="J10" i="2"/>
  <c r="J11" i="2"/>
  <c r="J12" i="2"/>
  <c r="J13" i="2"/>
  <c r="J14" i="2"/>
  <c r="J15" i="2"/>
  <c r="J16" i="2"/>
  <c r="J17" i="2"/>
  <c r="J18" i="2"/>
  <c r="J19" i="2"/>
  <c r="J20" i="2"/>
  <c r="J21" i="2"/>
  <c r="J2" i="2"/>
  <c r="G26" i="3"/>
  <c r="H25" i="3"/>
  <c r="H3" i="4"/>
  <c r="H4" i="4"/>
  <c r="H5" i="4"/>
  <c r="H6" i="4"/>
  <c r="H7" i="4"/>
  <c r="H8" i="4"/>
  <c r="H9" i="4"/>
  <c r="H10" i="4"/>
  <c r="H11" i="4"/>
  <c r="H12" i="4"/>
  <c r="H13" i="4"/>
  <c r="H14" i="4"/>
  <c r="H15" i="4"/>
  <c r="H16" i="4"/>
  <c r="H17" i="4"/>
  <c r="H18" i="4"/>
  <c r="H19" i="4"/>
  <c r="H20" i="4"/>
  <c r="H21" i="4"/>
  <c r="H2" i="4"/>
  <c r="G3" i="4"/>
  <c r="G4" i="4"/>
  <c r="G5" i="4"/>
  <c r="G6" i="4"/>
  <c r="G7" i="4"/>
  <c r="G8" i="4"/>
  <c r="G9" i="4"/>
  <c r="G10" i="4"/>
  <c r="G11" i="4"/>
  <c r="G12" i="4"/>
  <c r="G13" i="4"/>
  <c r="G14" i="4"/>
  <c r="G15" i="4"/>
  <c r="G16" i="4"/>
  <c r="G17" i="4"/>
  <c r="G18" i="4"/>
  <c r="G19" i="4"/>
  <c r="G20" i="4"/>
  <c r="G21" i="4"/>
  <c r="G2" i="4"/>
  <c r="F3" i="4"/>
  <c r="F4" i="4"/>
  <c r="F5" i="4"/>
  <c r="F6" i="4"/>
  <c r="F7" i="4"/>
  <c r="F8" i="4"/>
  <c r="F9" i="4"/>
  <c r="F10" i="4"/>
  <c r="F11" i="4"/>
  <c r="F12" i="4"/>
  <c r="F13" i="4"/>
  <c r="F14" i="4"/>
  <c r="F15" i="4"/>
  <c r="F16" i="4"/>
  <c r="F17" i="4"/>
  <c r="F18" i="4"/>
  <c r="F19" i="4"/>
  <c r="F20" i="4"/>
  <c r="F21" i="4"/>
  <c r="F2" i="4"/>
  <c r="C31" i="2"/>
  <c r="F27" i="2"/>
  <c r="I2" i="2"/>
  <c r="G24" i="3"/>
  <c r="G26" i="2"/>
  <c r="G3" i="3"/>
  <c r="G4" i="3"/>
  <c r="G5" i="3"/>
  <c r="G6" i="3"/>
  <c r="G7" i="3"/>
  <c r="G8" i="3"/>
  <c r="G9" i="3"/>
  <c r="G10" i="3"/>
  <c r="G11" i="3"/>
  <c r="G12" i="3"/>
  <c r="G13" i="3"/>
  <c r="G14" i="3"/>
  <c r="G15" i="3"/>
  <c r="G16" i="3"/>
  <c r="G17" i="3"/>
  <c r="G18" i="3"/>
  <c r="G19" i="3"/>
  <c r="G20" i="3"/>
  <c r="G21" i="3"/>
  <c r="G2" i="3"/>
  <c r="I3" i="2"/>
  <c r="I4" i="2"/>
  <c r="I5" i="2"/>
  <c r="I6" i="2"/>
  <c r="I7" i="2"/>
  <c r="I8" i="2"/>
  <c r="I9" i="2"/>
  <c r="I10" i="2"/>
  <c r="I11" i="2"/>
  <c r="I12" i="2"/>
  <c r="I13" i="2"/>
  <c r="I14" i="2"/>
  <c r="I15" i="2"/>
  <c r="I16" i="2"/>
  <c r="I17" i="2"/>
  <c r="I18" i="2"/>
  <c r="I19" i="2"/>
  <c r="I20" i="2"/>
  <c r="I21" i="2"/>
  <c r="C26" i="3"/>
  <c r="C26" i="4"/>
  <c r="H3" i="2"/>
  <c r="H4" i="2"/>
  <c r="H5" i="2"/>
  <c r="H6" i="2"/>
  <c r="H7" i="2"/>
  <c r="H8" i="2"/>
  <c r="H9" i="2"/>
  <c r="H10" i="2"/>
  <c r="H11" i="2"/>
  <c r="H12" i="2"/>
  <c r="H13" i="2"/>
  <c r="H14" i="2"/>
  <c r="H15" i="2"/>
  <c r="H16" i="2"/>
  <c r="H17" i="2"/>
  <c r="H18" i="2"/>
  <c r="H19" i="2"/>
  <c r="H20" i="2"/>
  <c r="H21" i="2"/>
  <c r="H2" i="2"/>
  <c r="G3" i="2"/>
  <c r="G4" i="2"/>
  <c r="G5" i="2"/>
  <c r="G6" i="2"/>
  <c r="G7" i="2"/>
  <c r="G8" i="2"/>
  <c r="G9" i="2"/>
  <c r="G10" i="2"/>
  <c r="G11" i="2"/>
  <c r="G12" i="2"/>
  <c r="G13" i="2"/>
  <c r="G14" i="2"/>
  <c r="G15" i="2"/>
  <c r="G16" i="2"/>
  <c r="G17" i="2"/>
  <c r="G18" i="2"/>
  <c r="G19" i="2"/>
  <c r="G20" i="2"/>
  <c r="G21" i="2"/>
  <c r="G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<sst xmlns="http://schemas.openxmlformats.org/spreadsheetml/2006/main" count="211" uniqueCount="154">
  <si>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</si>
  <si>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</si>
  <si>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</si>
  <si>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</si>
  <si>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</si>
  <si>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</si>
  <si>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</si>
  <si>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</si>
  <si>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</si>
  <si>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</si>
  <si>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</si>
  <si>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</si>
  <si>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</si>
  <si>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</si>
  <si>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</si>
  <si>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</si>
  <si>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</si>
  <si>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</si>
  <si>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</si>
  <si>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</si>
  <si>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</si>
  <si>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</si>
  <si>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</si>
  <si>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</si>
  <si>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</si>
  <si>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</si>
  <si>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</si>
  <si>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</si>
  <si>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</si>
  <si>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</si>
  <si>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</si>
  <si>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</si>
  <si>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</si>
  <si>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</si>
  <si>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</si>
  <si>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</si>
  <si>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</si>
  <si>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</si>
  <si>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</si>
  <si>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</si>
  <si>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</si>
  <si>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</si>
  <si>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</si>
  <si>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</si>
  <si>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</si>
  <si>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</si>
  <si>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</si>
  <si>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</si>
  <si>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</si>
  <si>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</si>
  <si>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</si>
  <si>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</si>
  <si>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</si>
  <si>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</si>
  <si>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</si>
  <si>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</si>
  <si>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</si>
  <si>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</si>
  <si>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</si>
  <si>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</si>
  <si>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</si>
  <si>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</si>
  <si>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</si>
  <si>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</si>
  <si>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</si>
  <si>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</si>
  <si>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</si>
  <si>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</si>
  <si>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</si>
  <si>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</si>
  <si>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</si>
  <si>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</si>
  <si>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</si>
  <si>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</si>
  <si>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</si>
  <si>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</si>
  <si>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</si>
  <si>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</si>
  <si>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</si>
  <si>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</si>
  <si>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</si>
  <si>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</si>
  <si>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</si>
  <si>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</si>
  <si>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</si>
  <si>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</si>
  <si>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</si>
  <si>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</si>
  <si>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</si>
  <si>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</si>
  <si>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</si>
  <si>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</si>
  <si>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</si>
  <si>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</si>
  <si>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</si>
  <si>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</si>
  <si>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</si>
  <si>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</si>
  <si>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</si>
  <si>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</si>
  <si>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</si>
  <si>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</si>
  <si>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</si>
  <si>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</si>
  <si>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</si>
  <si>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</si>
  <si>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</si>
  <si>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</si>
  <si>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</si>
  <si>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</si>
  <si>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</si>
  <si>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</si>
  <si>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</si>
  <si>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</si>
  <si>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</si>
  <si>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</si>
  <si>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</si>
  <si>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</si>
  <si>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</si>
  <si>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</si>
  <si>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</si>
  <si>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</si>
  <si>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</si>
  <si>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</si>
  <si>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</si>
  <si>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</si>
  <si>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</si>
  <si>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</si>
  <si>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</si>
  <si>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</si>
  <si>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Grade</t>
  </si>
  <si>
    <t>Total</t>
  </si>
  <si>
    <t>Price</t>
  </si>
  <si>
    <t>Input</t>
  </si>
  <si>
    <t>Enter ID</t>
  </si>
  <si>
    <t>Above 80 in Math &amp; Sci</t>
  </si>
  <si>
    <t>Discount</t>
  </si>
  <si>
    <t>COUNTIFS – Students Scored Above 50 in Math</t>
  </si>
  <si>
    <t>~</t>
  </si>
  <si>
    <t>Get Product's Price</t>
  </si>
  <si>
    <t>Total sales in East region</t>
  </si>
  <si>
    <t>Average Math score above 60:</t>
  </si>
  <si>
    <t>Fetch Student Name by ID</t>
  </si>
  <si>
    <t>First Name</t>
  </si>
  <si>
    <t>Lower Case</t>
  </si>
  <si>
    <t>Upper Case</t>
  </si>
  <si>
    <t>XMATCH – Position of Product Mouse</t>
  </si>
  <si>
    <t>OFFSET – Dynamic Range</t>
  </si>
  <si>
    <t>Date Diff ( Col-F )</t>
  </si>
  <si>
    <t>ROUND()</t>
  </si>
  <si>
    <t>CEILING()</t>
  </si>
  <si>
    <t>FLOOR()</t>
  </si>
  <si>
    <t>FILTER – Top Performing Students (&gt;220)</t>
  </si>
  <si>
    <t>Fetch Employee's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</si>
</sst>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yyyy\-mm\-dd\ hh:mm:ss"/>
    <numFmt numFmtId="165" formatCode="dd\-mmm\-yyyy"/>
    <numFmt numFmtId="166" formatCode="[$-F800]dddd\,\ mmmm\ dd\,\ yyyy"/>
    <numFmt numFmtId="167" formatCode="[$₹-4009]\ #,##0"/>
  </numFmts>
  <fonts count="1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rgb="FFFA7D00"/>
      <name val="Calibri"/>
      <family val="2"/>
      <scheme val="minor"/>
    </font>
    <font>
      <b/>
      <sz val="11"/>
      <color theme="1"/>
      <name val="Calibri"/>
      <family val="2"/>
      <scheme val="minor"/>
    </font>
    <font>
      <b/>
      <sz val="11"/>
      <color rgb="FF000000"/>
      <name val="Calibri"/>
      <family val="2"/>
    </font>
    <font>
      <i/>
      <sz val="11"/>
      <color rgb="FF000000"/>
      <name val="Calibri"/>
      <family val="2"/>
    </font>
    <font>
      <i/>
      <sz val="11"/>
      <color rgb="FF7F7F7F"/>
      <name val="Calibri"/>
      <family val="2"/>
      <scheme val="minor"/>
    </font>
    <font>
      <b/>
      <sz val="15"/>
      <color theme="3"/>
      <name val="Calibri"/>
      <family val="2"/>
      <scheme val="minor"/>
    </font>
  </fonts>
  <fills count="5">
    <fill>
      <patternFill patternType="none"/>
    </fill>
    <fill>
      <patternFill patternType="gray125"/>
    </fill>
    <fill>
      <patternFill patternType="solid">
        <fgColor rgb="FFFFF2CC"/>
        <bgColor rgb="FFFFF2CC"/>
      </patternFill>
    </fill>
    <fill>
      <patternFill patternType="solid">
        <fgColor rgb="FFF2F2F2"/>
      </patternFill>
    </fill>
    <fill>
      <patternFill patternType="solid">
        <fgColor rgb="FFFFFFCC"/>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top style="thin">
        <color rgb="FF000000"/>
      </top>
      <bottom/>
      <diagonal/>
    </border>
    <border>
      <left/>
      <right/>
      <top/>
      <bottom style="thick">
        <color theme="4"/>
      </bottom>
      <diagonal/>
    </border>
  </borders>
  <cellStyleXfs count="6">
    <xf numFmtId="0" fontId="0" fillId="0" borderId="0"/>
    <xf numFmtId="43" fontId="5" fillId="0" borderId="0" applyFont="0" applyFill="0" applyBorder="0" applyAlignment="0" applyProtection="0"/>
    <xf numFmtId="0" fontId="12" fillId="3" borderId="2" applyNumberFormat="0" applyAlignment="0" applyProtection="0"/>
    <xf numFmtId="0" fontId="5" fillId="4" borderId="3" applyNumberFormat="0" applyFont="0" applyAlignment="0" applyProtection="0"/>
    <xf numFmtId="0" fontId="16" fillId="0" borderId="0" applyNumberFormat="0" applyFill="0" applyBorder="0" applyAlignment="0" applyProtection="0"/>
    <xf numFmtId="0" fontId="17" fillId="0" borderId="8" applyNumberFormat="0" applyFill="0" applyAlignment="0" applyProtection="0"/>
  </cellStyleXfs>
  <cellXfs count="40">
    <xf numFmtId="0" fontId="0" fillId="0" borderId="0" xfId="0"/>
    <xf numFmtId="0" fontId="4" fillId="2" borderId="1" xfId="0" applyFont="1" applyFill="1" applyBorder="1" applyAlignment="1">
      <alignment horizontal="center" vertical="center"/>
    </xf>
    <xf numFmtId="0" fontId="5" fillId="0" borderId="0" xfId="0" applyFont="1" applyAlignment="1">
      <alignment vertical="center"/>
    </xf>
    <xf numFmtId="0" fontId="6" fillId="0" borderId="1" xfId="0" applyFont="1" applyBorder="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0" fontId="7" fillId="2" borderId="1" xfId="0" applyFont="1" applyFill="1" applyBorder="1" applyAlignment="1">
      <alignment horizontal="center" vertical="center"/>
    </xf>
    <xf numFmtId="0" fontId="5" fillId="0" borderId="0" xfId="0" applyFont="1" applyAlignment="1">
      <alignment horizontal="center" vertical="center"/>
    </xf>
    <xf numFmtId="0" fontId="6" fillId="0" borderId="1" xfId="0" applyFont="1" applyBorder="1" applyAlignment="1">
      <alignment horizontal="center" vertical="center"/>
    </xf>
    <xf numFmtId="0" fontId="3" fillId="0" borderId="0" xfId="0" applyFont="1" applyAlignment="1">
      <alignment horizontal="center" vertical="center"/>
    </xf>
    <xf numFmtId="0" fontId="7" fillId="2" borderId="5" xfId="0" applyFont="1" applyFill="1" applyBorder="1" applyAlignment="1">
      <alignment horizontal="center" vertical="center"/>
    </xf>
    <xf numFmtId="164" fontId="6" fillId="0" borderId="5" xfId="0" applyNumberFormat="1" applyFont="1" applyBorder="1" applyAlignment="1">
      <alignment horizontal="center" vertical="center"/>
    </xf>
    <xf numFmtId="0" fontId="14" fillId="2" borderId="4" xfId="0" applyFont="1" applyFill="1" applyBorder="1" applyAlignment="1">
      <alignment horizontal="center" vertical="center"/>
    </xf>
    <xf numFmtId="0" fontId="5" fillId="0" borderId="4" xfId="0" applyFont="1" applyBorder="1" applyAlignment="1">
      <alignment horizontal="center" vertical="center"/>
    </xf>
    <xf numFmtId="0" fontId="12" fillId="3" borderId="2" xfId="2" applyAlignment="1">
      <alignment horizontal="center" vertical="center"/>
    </xf>
    <xf numFmtId="0" fontId="12" fillId="3" borderId="4" xfId="2" applyBorder="1" applyAlignment="1">
      <alignment horizontal="center" vertical="center"/>
    </xf>
    <xf numFmtId="0" fontId="5" fillId="0" borderId="6" xfId="0" applyFont="1" applyBorder="1" applyAlignment="1">
      <alignment horizontal="center" vertical="center"/>
    </xf>
    <xf numFmtId="0" fontId="12" fillId="3" borderId="0" xfId="2" applyBorder="1" applyAlignment="1">
      <alignment horizontal="center" vertical="center"/>
    </xf>
    <xf numFmtId="0" fontId="5" fillId="0" borderId="7" xfId="0" applyFont="1" applyBorder="1" applyAlignment="1">
      <alignment horizontal="center" vertical="center"/>
    </xf>
    <xf numFmtId="0" fontId="15" fillId="0" borderId="1" xfId="0" applyFont="1" applyBorder="1" applyAlignment="1">
      <alignment horizontal="center" vertical="center"/>
    </xf>
    <xf numFmtId="0" fontId="14" fillId="0" borderId="1" xfId="0" applyFont="1" applyBorder="1" applyAlignment="1">
      <alignment horizontal="center" vertical="center"/>
    </xf>
    <xf numFmtId="0" fontId="6" fillId="0" borderId="1" xfId="1" applyNumberFormat="1" applyFont="1" applyBorder="1" applyAlignment="1">
      <alignment horizontal="center" vertical="center"/>
    </xf>
    <xf numFmtId="0" fontId="2" fillId="0" borderId="0" xfId="0" applyFont="1" applyAlignment="1">
      <alignment horizontal="center" vertical="center"/>
    </xf>
    <xf numFmtId="166" fontId="6" fillId="0" borderId="5" xfId="0" applyNumberFormat="1" applyFont="1" applyBorder="1" applyAlignment="1">
      <alignment horizontal="center" vertical="center"/>
    </xf>
    <xf numFmtId="0" fontId="13" fillId="4" borderId="4" xfId="3" applyFont="1" applyBorder="1" applyAlignment="1">
      <alignment horizontal="center" vertical="center"/>
    </xf>
    <xf numFmtId="0" fontId="2" fillId="0" borderId="0" xfId="0" applyFont="1"/>
    <xf numFmtId="167" fontId="5" fillId="0" borderId="0" xfId="1" applyNumberFormat="1" applyFont="1" applyAlignment="1">
      <alignment horizontal="center" vertical="center"/>
    </xf>
    <xf numFmtId="0" fontId="2" fillId="0" borderId="0" xfId="0" applyFont="1" applyAlignment="1">
      <alignment horizontal="center"/>
    </xf>
    <xf numFmtId="0" fontId="5" fillId="0" borderId="4" xfId="0" applyFont="1" applyBorder="1" applyAlignment="1">
      <alignment horizontal="center" vertical="center"/>
    </xf>
    <xf numFmtId="0" fontId="12" fillId="3" borderId="2" xfId="2" applyAlignment="1">
      <alignment horizontal="center" vertical="center"/>
    </xf>
    <xf numFmtId="0" fontId="16" fillId="0" borderId="0" xfId="4" applyAlignment="1">
      <alignment horizontal="center" vertical="center"/>
    </xf>
    <xf numFmtId="0" fontId="16" fillId="0" borderId="4" xfId="4" applyBorder="1" applyAlignment="1">
      <alignment horizontal="center" vertical="center"/>
    </xf>
    <xf numFmtId="0" fontId="1" fillId="0" borderId="0" xfId="0" applyFont="1" applyAlignment="1">
      <alignment horizontal="center" vertical="center"/>
    </xf>
    <xf numFmtId="0" fontId="1" fillId="0" borderId="0" xfId="0" applyFont="1"/>
    <xf numFmtId="0" fontId="1" fillId="0" borderId="0" xfId="0" applyFont="1" applyAlignment="1">
      <alignment horizontal="center"/>
    </xf>
    <xf numFmtId="0" fontId="1" fillId="0" borderId="0" xfId="0" applyFont="1" applyAlignment="1">
      <alignment horizontal="center"/>
    </xf>
    <xf numFmtId="0" fontId="17" fillId="0" borderId="4" xfId="5" applyBorder="1" applyAlignment="1">
      <alignment horizontal="center" vertical="center"/>
    </xf>
    <xf numFmtId="166" fontId="5" fillId="0" borderId="4" xfId="0" applyNumberFormat="1" applyFont="1" applyBorder="1" applyAlignment="1">
      <alignment horizontal="center" vertical="center"/>
    </xf>
    <xf numFmtId="165" fontId="6" fillId="0" borderId="5" xfId="0" applyNumberFormat="1" applyFont="1" applyBorder="1" applyAlignment="1">
      <alignment horizontal="center" vertical="center"/>
    </xf>
    <xf numFmtId="164" fontId="5" fillId="0" borderId="4" xfId="0" applyNumberFormat="1" applyFont="1" applyBorder="1" applyAlignment="1">
      <alignment horizontal="center" vertical="center"/>
    </xf>
  </cellXfs>
  <cellStyles count="6">
    <cellStyle name="Calculation" xfId="2" builtinId="22"/>
    <cellStyle name="Comma" xfId="1" builtinId="3"/>
    <cellStyle name="Explanatory Text" xfId="4" builtinId="53"/>
    <cellStyle name="Heading 1" xfId="5" builtinId="16"/>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12" zoomScale="92" workbookViewId="0">
      <selection activeCell="F33" sqref="F33"/>
    </sheetView>
  </sheetViews>
  <sheetFormatPr defaultColWidth="14.44140625" defaultRowHeight="15" customHeight="1"/>
  <cols>
    <col min="1" max="1" width="75.441406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3" t="s">
        <v>1</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2</v>
      </c>
      <c r="B5" s="2"/>
      <c r="C5" s="2"/>
      <c r="D5" s="2"/>
      <c r="E5" s="2"/>
      <c r="F5" s="2"/>
      <c r="G5" s="2"/>
      <c r="H5" s="2"/>
      <c r="I5" s="2"/>
      <c r="J5" s="2"/>
      <c r="K5" s="2"/>
      <c r="L5" s="2"/>
      <c r="M5" s="2"/>
      <c r="N5" s="2"/>
      <c r="O5" s="2"/>
      <c r="P5" s="2"/>
      <c r="Q5" s="2"/>
      <c r="R5" s="2"/>
      <c r="S5" s="2"/>
      <c r="T5" s="2"/>
      <c r="U5" s="2"/>
      <c r="V5" s="2"/>
      <c r="W5" s="2"/>
      <c r="X5" s="2"/>
      <c r="Y5" s="2"/>
      <c r="Z5" s="2"/>
    </row>
    <row r="6" spans="1:26">
      <c r="A6" s="4" t="s">
        <v>3</v>
      </c>
      <c r="B6" s="2"/>
      <c r="C6" s="2"/>
      <c r="D6" s="2"/>
      <c r="E6" s="2"/>
      <c r="F6" s="2"/>
      <c r="G6" s="2"/>
      <c r="H6" s="2"/>
      <c r="I6" s="2"/>
      <c r="J6" s="2"/>
      <c r="K6" s="2"/>
      <c r="L6" s="2"/>
      <c r="M6" s="2"/>
      <c r="N6" s="2"/>
      <c r="O6" s="2"/>
      <c r="P6" s="2"/>
      <c r="Q6" s="2"/>
      <c r="R6" s="2"/>
      <c r="S6" s="2"/>
      <c r="T6" s="2"/>
      <c r="U6" s="2"/>
      <c r="V6" s="2"/>
      <c r="W6" s="2"/>
      <c r="X6" s="2"/>
      <c r="Y6" s="2"/>
      <c r="Z6" s="2"/>
    </row>
    <row r="7" spans="1:26">
      <c r="A7" s="5" t="s">
        <v>4</v>
      </c>
      <c r="B7" s="2"/>
      <c r="C7" s="2"/>
      <c r="D7" s="2"/>
      <c r="E7" s="2"/>
      <c r="F7" s="2"/>
      <c r="G7" s="2"/>
      <c r="H7" s="2"/>
      <c r="I7" s="2"/>
      <c r="J7" s="2"/>
      <c r="K7" s="2"/>
      <c r="L7" s="2"/>
      <c r="M7" s="2"/>
      <c r="N7" s="2"/>
      <c r="O7" s="2"/>
      <c r="P7" s="2"/>
      <c r="Q7" s="2"/>
      <c r="R7" s="2"/>
      <c r="S7" s="2"/>
      <c r="T7" s="2"/>
      <c r="U7" s="2"/>
      <c r="V7" s="2"/>
      <c r="W7" s="2"/>
      <c r="X7" s="2"/>
      <c r="Y7" s="2"/>
      <c r="Z7" s="2"/>
    </row>
    <row r="8" spans="1:26">
      <c r="A8" s="5" t="s">
        <v>5</v>
      </c>
      <c r="B8" s="2"/>
      <c r="C8" s="2"/>
      <c r="D8" s="2"/>
      <c r="E8" s="2"/>
      <c r="F8" s="2"/>
      <c r="G8" s="2"/>
      <c r="H8" s="2"/>
      <c r="I8" s="2"/>
      <c r="J8" s="2"/>
      <c r="K8" s="2"/>
      <c r="L8" s="2"/>
      <c r="M8" s="2"/>
      <c r="N8" s="2"/>
      <c r="O8" s="2"/>
      <c r="P8" s="2"/>
      <c r="Q8" s="2"/>
      <c r="R8" s="2"/>
      <c r="S8" s="2"/>
      <c r="T8" s="2"/>
      <c r="U8" s="2"/>
      <c r="V8" s="2"/>
      <c r="W8" s="2"/>
      <c r="X8" s="2"/>
      <c r="Y8" s="2"/>
      <c r="Z8" s="2"/>
    </row>
    <row r="9" spans="1:26">
      <c r="A9" s="5"/>
      <c r="B9" s="2"/>
      <c r="C9" s="2"/>
      <c r="D9" s="2"/>
      <c r="E9" s="2"/>
      <c r="F9" s="2"/>
      <c r="G9" s="2"/>
      <c r="H9" s="2"/>
      <c r="I9" s="2"/>
      <c r="J9" s="2"/>
      <c r="K9" s="2"/>
      <c r="L9" s="2"/>
      <c r="M9" s="2"/>
      <c r="N9" s="2"/>
      <c r="O9" s="2"/>
      <c r="P9" s="2"/>
      <c r="Q9" s="2"/>
      <c r="R9" s="2"/>
      <c r="S9" s="2"/>
      <c r="T9" s="2"/>
      <c r="U9" s="2"/>
      <c r="V9" s="2"/>
      <c r="W9" s="2"/>
      <c r="X9" s="2"/>
      <c r="Y9" s="2"/>
      <c r="Z9" s="2"/>
    </row>
    <row r="10" spans="1:26">
      <c r="A10" s="4"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5"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5"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5"/>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4"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5"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5"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5"/>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5"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5"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5"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5"/>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4"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5"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5"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5"/>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4"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5"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5"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5"/>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4"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5"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5"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5"/>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4"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5"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5"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5"/>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4"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5"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5"/>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4"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5"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5"/>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4"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5"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5"/>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4"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5"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5"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5"/>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4"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5"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5"/>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4"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5"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12" workbookViewId="0">
      <selection activeCell="I26" sqref="I26"/>
    </sheetView>
  </sheetViews>
  <sheetFormatPr defaultColWidth="14.44140625" defaultRowHeight="15" customHeight="1"/>
  <cols>
    <col min="1" max="1" width="10.33203125" customWidth="1"/>
    <col min="2" max="2" width="10.44140625" customWidth="1"/>
    <col min="3" max="3" width="7" customWidth="1"/>
    <col min="4" max="4" width="7.5546875" customWidth="1"/>
    <col min="5" max="5" width="7.33203125" customWidth="1"/>
    <col min="6" max="6" width="18.88671875" customWidth="1"/>
    <col min="7" max="8" width="8.6640625" customWidth="1"/>
    <col min="9" max="9" width="20.33203125" customWidth="1"/>
    <col min="10" max="10" width="14.88671875" customWidth="1"/>
    <col min="11" max="26" width="8.6640625" customWidth="1"/>
  </cols>
  <sheetData>
    <row r="1" spans="1:26" ht="14.4">
      <c r="A1" s="6" t="s">
        <v>41</v>
      </c>
      <c r="B1" s="6" t="s">
        <v>42</v>
      </c>
      <c r="C1" s="6" t="s">
        <v>43</v>
      </c>
      <c r="D1" s="6" t="s">
        <v>44</v>
      </c>
      <c r="E1" s="6" t="s">
        <v>45</v>
      </c>
      <c r="F1" s="10" t="s">
        <v>46</v>
      </c>
      <c r="G1" s="12" t="s">
        <v>131</v>
      </c>
      <c r="H1" s="24" t="s">
        <v>130</v>
      </c>
      <c r="I1" s="24" t="s">
        <v>135</v>
      </c>
      <c r="J1" s="12" t="s">
        <v>148</v>
      </c>
      <c r="K1" s="7"/>
      <c r="L1" s="7"/>
      <c r="M1" s="7"/>
      <c r="N1" s="7"/>
      <c r="O1" s="7"/>
      <c r="P1" s="7"/>
      <c r="Q1" s="7"/>
      <c r="R1" s="7"/>
      <c r="S1" s="7"/>
      <c r="T1" s="7"/>
      <c r="U1" s="7"/>
      <c r="V1" s="7"/>
      <c r="W1" s="7"/>
      <c r="X1" s="7"/>
      <c r="Y1" s="7"/>
      <c r="Z1" s="7"/>
    </row>
    <row r="2" spans="1:26" ht="14.4">
      <c r="A2" s="8">
        <v>1001</v>
      </c>
      <c r="B2" s="8" t="s">
        <v>47</v>
      </c>
      <c r="C2" s="8">
        <v>61</v>
      </c>
      <c r="D2" s="8">
        <v>48</v>
      </c>
      <c r="E2" s="8">
        <v>76</v>
      </c>
      <c r="F2" s="11">
        <v>43101</v>
      </c>
      <c r="G2" s="13">
        <f>SUM(C2:E2)</f>
        <v>185</v>
      </c>
      <c r="H2" s="13" t="str">
        <f>IF(AVERAGE(C2:E2)&gt;=90,"A",IF(AVERAGE(C2:E2)&gt;=80,"B", IF(AVERAGE(C2:E2)&gt;=65,"C",IF(AVERAGE(C2:E2)&gt;=45,"D",IF(AVERAGE(C2:E2)&gt;=30,"F")))))</f>
        <v>D</v>
      </c>
      <c r="I2" s="13" t="str">
        <f>IF(AND(C2&gt;80,D2&gt;80),"Yes","No")</f>
        <v>No</v>
      </c>
      <c r="J2" s="13">
        <f ca="1">DATEDIF(F2,TODAY(),"Y")</f>
        <v>8</v>
      </c>
      <c r="K2" s="7"/>
      <c r="L2" s="7"/>
      <c r="M2" s="7"/>
      <c r="N2" s="7"/>
      <c r="O2" s="7"/>
      <c r="P2" s="7"/>
      <c r="Q2" s="7"/>
      <c r="R2" s="7"/>
      <c r="S2" s="7"/>
      <c r="T2" s="7"/>
      <c r="U2" s="7"/>
      <c r="V2" s="7"/>
      <c r="W2" s="7"/>
      <c r="X2" s="7"/>
      <c r="Y2" s="7"/>
      <c r="Z2" s="7"/>
    </row>
    <row r="3" spans="1:26" ht="14.4">
      <c r="A3" s="8">
        <v>1002</v>
      </c>
      <c r="B3" s="8" t="s">
        <v>48</v>
      </c>
      <c r="C3" s="8">
        <v>78</v>
      </c>
      <c r="D3" s="8">
        <v>76</v>
      </c>
      <c r="E3" s="8">
        <v>70</v>
      </c>
      <c r="F3" s="11">
        <v>43281</v>
      </c>
      <c r="G3" s="13">
        <f t="shared" ref="G3:G21" si="0">SUM(C3:E3)</f>
        <v>224</v>
      </c>
      <c r="H3" s="13" t="str">
        <f t="shared" ref="H3:H21" si="1">IF(AVERAGE(C3:E3)&gt;=90,"A",IF(AVERAGE(C3:E3)&gt;=80,"B", IF(AVERAGE(C3:E3)&gt;=65,"C",IF(AVERAGE(C3:E3)&gt;=45,"D",IF(AVERAGE(C3:E3)&gt;=30,"F")))))</f>
        <v>C</v>
      </c>
      <c r="I3" s="13" t="str">
        <f t="shared" ref="I3:I21" si="2">IF(AND(C3&gt;80,D3&gt;80),"Yes","No")</f>
        <v>No</v>
      </c>
      <c r="J3" s="13">
        <f t="shared" ref="J3:J21" ca="1" si="3">DATEDIF(F3,TODAY(),"Y")</f>
        <v>7</v>
      </c>
      <c r="K3" s="7"/>
      <c r="L3" s="7"/>
      <c r="M3" s="7"/>
      <c r="N3" s="7"/>
      <c r="O3" s="7"/>
      <c r="P3" s="7"/>
      <c r="Q3" s="7"/>
      <c r="R3" s="7"/>
      <c r="S3" s="7"/>
      <c r="T3" s="7"/>
      <c r="U3" s="7"/>
      <c r="V3" s="7"/>
      <c r="W3" s="7"/>
      <c r="X3" s="7"/>
      <c r="Y3" s="7"/>
      <c r="Z3" s="7"/>
    </row>
    <row r="4" spans="1:26" ht="14.4">
      <c r="A4" s="8">
        <v>1003</v>
      </c>
      <c r="B4" s="8" t="s">
        <v>49</v>
      </c>
      <c r="C4" s="8">
        <v>97</v>
      </c>
      <c r="D4" s="8">
        <v>60</v>
      </c>
      <c r="E4" s="8">
        <v>51</v>
      </c>
      <c r="F4" s="11">
        <v>43461</v>
      </c>
      <c r="G4" s="13">
        <f t="shared" si="0"/>
        <v>208</v>
      </c>
      <c r="H4" s="13" t="str">
        <f t="shared" si="1"/>
        <v>C</v>
      </c>
      <c r="I4" s="13" t="str">
        <f t="shared" si="2"/>
        <v>No</v>
      </c>
      <c r="J4" s="13">
        <f t="shared" ca="1" si="3"/>
        <v>7</v>
      </c>
      <c r="K4" s="7"/>
      <c r="L4" s="7"/>
      <c r="M4" s="7"/>
      <c r="N4" s="7"/>
      <c r="O4" s="7"/>
      <c r="P4" s="7"/>
      <c r="Q4" s="7"/>
      <c r="R4" s="7"/>
      <c r="S4" s="7"/>
      <c r="T4" s="7"/>
      <c r="U4" s="7"/>
      <c r="V4" s="7"/>
      <c r="W4" s="7"/>
      <c r="X4" s="7"/>
      <c r="Y4" s="7"/>
      <c r="Z4" s="7"/>
    </row>
    <row r="5" spans="1:26" ht="14.4">
      <c r="A5" s="8">
        <v>1004</v>
      </c>
      <c r="B5" s="8" t="s">
        <v>50</v>
      </c>
      <c r="C5" s="8">
        <v>74</v>
      </c>
      <c r="D5" s="8">
        <v>55</v>
      </c>
      <c r="E5" s="8">
        <v>46</v>
      </c>
      <c r="F5" s="11">
        <v>43641</v>
      </c>
      <c r="G5" s="13">
        <f t="shared" si="0"/>
        <v>175</v>
      </c>
      <c r="H5" s="13" t="str">
        <f t="shared" si="1"/>
        <v>D</v>
      </c>
      <c r="I5" s="13" t="str">
        <f t="shared" si="2"/>
        <v>No</v>
      </c>
      <c r="J5" s="13">
        <f t="shared" ca="1" si="3"/>
        <v>6</v>
      </c>
      <c r="K5" s="7"/>
      <c r="L5" s="7"/>
      <c r="M5" s="7"/>
      <c r="N5" s="7"/>
      <c r="O5" s="7"/>
      <c r="P5" s="7"/>
      <c r="Q5" s="7"/>
      <c r="R5" s="7"/>
      <c r="S5" s="7"/>
      <c r="T5" s="7"/>
      <c r="U5" s="7"/>
      <c r="V5" s="7"/>
      <c r="W5" s="7"/>
      <c r="X5" s="7"/>
      <c r="Y5" s="7"/>
      <c r="Z5" s="7"/>
    </row>
    <row r="6" spans="1:26" ht="14.4">
      <c r="A6" s="8">
        <v>1005</v>
      </c>
      <c r="B6" s="8" t="s">
        <v>51</v>
      </c>
      <c r="C6" s="8">
        <v>68</v>
      </c>
      <c r="D6" s="8">
        <v>74</v>
      </c>
      <c r="E6" s="8">
        <v>84</v>
      </c>
      <c r="F6" s="11">
        <v>43821</v>
      </c>
      <c r="G6" s="13">
        <f t="shared" si="0"/>
        <v>226</v>
      </c>
      <c r="H6" s="13" t="str">
        <f t="shared" si="1"/>
        <v>C</v>
      </c>
      <c r="I6" s="13" t="str">
        <f t="shared" si="2"/>
        <v>No</v>
      </c>
      <c r="J6" s="13">
        <f t="shared" ca="1" si="3"/>
        <v>6</v>
      </c>
      <c r="K6" s="7"/>
      <c r="L6" s="7"/>
      <c r="M6" s="7"/>
      <c r="N6" s="7"/>
      <c r="O6" s="7"/>
      <c r="P6" s="7"/>
      <c r="Q6" s="7"/>
      <c r="R6" s="7"/>
      <c r="S6" s="7"/>
      <c r="T6" s="7"/>
      <c r="U6" s="7"/>
      <c r="V6" s="7"/>
      <c r="W6" s="7"/>
      <c r="X6" s="7"/>
      <c r="Y6" s="7"/>
      <c r="Z6" s="7"/>
    </row>
    <row r="7" spans="1:26" ht="19.8">
      <c r="A7" s="8">
        <v>1006</v>
      </c>
      <c r="B7" s="8" t="s">
        <v>52</v>
      </c>
      <c r="C7" s="8">
        <v>80</v>
      </c>
      <c r="D7" s="8">
        <v>70</v>
      </c>
      <c r="E7" s="8">
        <v>65</v>
      </c>
      <c r="F7" s="11">
        <v>44001</v>
      </c>
      <c r="G7" s="13">
        <f t="shared" si="0"/>
        <v>215</v>
      </c>
      <c r="H7" s="13" t="str">
        <f t="shared" si="1"/>
        <v>C</v>
      </c>
      <c r="I7" s="13" t="str">
        <f t="shared" si="2"/>
        <v>No</v>
      </c>
      <c r="J7" s="13">
        <f t="shared" ca="1" si="3"/>
        <v>5</v>
      </c>
      <c r="K7" s="7"/>
      <c r="L7" s="36" t="s">
        <v>152</v>
      </c>
      <c r="M7" s="36"/>
      <c r="N7" s="36"/>
      <c r="O7" s="36"/>
      <c r="P7" s="36"/>
      <c r="Q7" s="36"/>
      <c r="R7" s="36"/>
      <c r="S7" s="36"/>
      <c r="T7" s="36"/>
      <c r="U7" s="7"/>
      <c r="V7" s="7"/>
      <c r="W7" s="7"/>
      <c r="X7" s="7"/>
      <c r="Y7" s="7"/>
      <c r="Z7" s="7"/>
    </row>
    <row r="8" spans="1:26" ht="14.4">
      <c r="A8" s="8">
        <v>1007</v>
      </c>
      <c r="B8" s="8" t="s">
        <v>53</v>
      </c>
      <c r="C8" s="8">
        <v>75</v>
      </c>
      <c r="D8" s="8">
        <v>47</v>
      </c>
      <c r="E8" s="8">
        <v>78</v>
      </c>
      <c r="F8" s="11">
        <v>44181</v>
      </c>
      <c r="G8" s="13">
        <f t="shared" si="0"/>
        <v>200</v>
      </c>
      <c r="H8" s="13" t="str">
        <f t="shared" si="1"/>
        <v>C</v>
      </c>
      <c r="I8" s="13" t="str">
        <f t="shared" si="2"/>
        <v>No</v>
      </c>
      <c r="J8" s="13">
        <f t="shared" ca="1" si="3"/>
        <v>5</v>
      </c>
      <c r="K8" s="7"/>
      <c r="L8" s="13" cm="1">
        <f t="array" ref="L8:T15">_xlfn._xlws.FILTER(A2:I21,G2:G21&gt;220)</f>
        <v>1002</v>
      </c>
      <c r="M8" s="13" t="str">
        <v>Student 2</v>
      </c>
      <c r="N8" s="13">
        <v>78</v>
      </c>
      <c r="O8" s="13">
        <v>76</v>
      </c>
      <c r="P8" s="13">
        <v>70</v>
      </c>
      <c r="Q8" s="13">
        <v>43281</v>
      </c>
      <c r="R8" s="13">
        <v>224</v>
      </c>
      <c r="S8" s="13" t="str">
        <v>C</v>
      </c>
      <c r="T8" s="13" t="str">
        <v>No</v>
      </c>
      <c r="U8" s="7"/>
      <c r="V8" s="7"/>
      <c r="W8" s="7"/>
      <c r="X8" s="7"/>
      <c r="Y8" s="7"/>
      <c r="Z8" s="7"/>
    </row>
    <row r="9" spans="1:26" ht="14.4">
      <c r="A9" s="8">
        <v>1008</v>
      </c>
      <c r="B9" s="8" t="s">
        <v>54</v>
      </c>
      <c r="C9" s="8">
        <v>94</v>
      </c>
      <c r="D9" s="8">
        <v>67</v>
      </c>
      <c r="E9" s="8">
        <v>64</v>
      </c>
      <c r="F9" s="11">
        <v>44361</v>
      </c>
      <c r="G9" s="13">
        <f t="shared" si="0"/>
        <v>225</v>
      </c>
      <c r="H9" s="13" t="str">
        <f t="shared" si="1"/>
        <v>C</v>
      </c>
      <c r="I9" s="13" t="str">
        <f t="shared" si="2"/>
        <v>No</v>
      </c>
      <c r="J9" s="13">
        <f t="shared" ca="1" si="3"/>
        <v>4</v>
      </c>
      <c r="K9" s="7"/>
      <c r="L9" s="13">
        <v>1005</v>
      </c>
      <c r="M9" s="13" t="str">
        <v>Student 5</v>
      </c>
      <c r="N9" s="13">
        <v>68</v>
      </c>
      <c r="O9" s="13">
        <v>74</v>
      </c>
      <c r="P9" s="13">
        <v>84</v>
      </c>
      <c r="Q9" s="13">
        <v>43821</v>
      </c>
      <c r="R9" s="13">
        <v>226</v>
      </c>
      <c r="S9" s="13" t="str">
        <v>C</v>
      </c>
      <c r="T9" s="13" t="str">
        <v>No</v>
      </c>
      <c r="U9" s="7"/>
      <c r="V9" s="7"/>
      <c r="W9" s="7"/>
      <c r="X9" s="7"/>
      <c r="Y9" s="7"/>
      <c r="Z9" s="7"/>
    </row>
    <row r="10" spans="1:26" ht="14.4">
      <c r="A10" s="8">
        <v>1009</v>
      </c>
      <c r="B10" s="8" t="s">
        <v>55</v>
      </c>
      <c r="C10" s="8">
        <v>41</v>
      </c>
      <c r="D10" s="8">
        <v>75</v>
      </c>
      <c r="E10" s="8">
        <v>56</v>
      </c>
      <c r="F10" s="11">
        <v>44541</v>
      </c>
      <c r="G10" s="13">
        <f t="shared" si="0"/>
        <v>172</v>
      </c>
      <c r="H10" s="13" t="str">
        <f t="shared" si="1"/>
        <v>D</v>
      </c>
      <c r="I10" s="13" t="str">
        <f t="shared" si="2"/>
        <v>No</v>
      </c>
      <c r="J10" s="13">
        <f t="shared" ca="1" si="3"/>
        <v>4</v>
      </c>
      <c r="K10" s="7"/>
      <c r="L10" s="13">
        <v>1008</v>
      </c>
      <c r="M10" s="13" t="str">
        <v>Student 8</v>
      </c>
      <c r="N10" s="13">
        <v>94</v>
      </c>
      <c r="O10" s="13">
        <v>67</v>
      </c>
      <c r="P10" s="13">
        <v>64</v>
      </c>
      <c r="Q10" s="13">
        <v>44361</v>
      </c>
      <c r="R10" s="13">
        <v>225</v>
      </c>
      <c r="S10" s="13" t="str">
        <v>C</v>
      </c>
      <c r="T10" s="13" t="str">
        <v>No</v>
      </c>
      <c r="U10" s="7"/>
      <c r="V10" s="7"/>
      <c r="W10" s="7"/>
      <c r="X10" s="7"/>
      <c r="Y10" s="7"/>
      <c r="Z10" s="7"/>
    </row>
    <row r="11" spans="1:26" ht="14.4">
      <c r="A11" s="8">
        <v>1010</v>
      </c>
      <c r="B11" s="8" t="s">
        <v>56</v>
      </c>
      <c r="C11" s="8">
        <v>98</v>
      </c>
      <c r="D11" s="8">
        <v>54</v>
      </c>
      <c r="E11" s="8">
        <v>58</v>
      </c>
      <c r="F11" s="11">
        <v>44721</v>
      </c>
      <c r="G11" s="13">
        <f t="shared" si="0"/>
        <v>210</v>
      </c>
      <c r="H11" s="13" t="str">
        <f t="shared" si="1"/>
        <v>C</v>
      </c>
      <c r="I11" s="13" t="str">
        <f t="shared" si="2"/>
        <v>No</v>
      </c>
      <c r="J11" s="13">
        <f t="shared" ca="1" si="3"/>
        <v>3</v>
      </c>
      <c r="K11" s="7"/>
      <c r="L11" s="13">
        <v>1012</v>
      </c>
      <c r="M11" s="13" t="str">
        <v>Student 12</v>
      </c>
      <c r="N11" s="13">
        <v>85</v>
      </c>
      <c r="O11" s="13">
        <v>89</v>
      </c>
      <c r="P11" s="13">
        <v>79</v>
      </c>
      <c r="Q11" s="13">
        <v>45081</v>
      </c>
      <c r="R11" s="13">
        <v>253</v>
      </c>
      <c r="S11" s="13" t="str">
        <v>B</v>
      </c>
      <c r="T11" s="13" t="str">
        <v>Yes</v>
      </c>
      <c r="U11" s="7"/>
      <c r="V11" s="7"/>
      <c r="W11" s="7"/>
      <c r="X11" s="7"/>
      <c r="Y11" s="7"/>
      <c r="Z11" s="7"/>
    </row>
    <row r="12" spans="1:26" ht="14.4">
      <c r="A12" s="8">
        <v>1011</v>
      </c>
      <c r="B12" s="8" t="s">
        <v>57</v>
      </c>
      <c r="C12" s="8">
        <v>73</v>
      </c>
      <c r="D12" s="8">
        <v>79</v>
      </c>
      <c r="E12" s="8">
        <v>53</v>
      </c>
      <c r="F12" s="11">
        <v>44901</v>
      </c>
      <c r="G12" s="13">
        <f t="shared" si="0"/>
        <v>205</v>
      </c>
      <c r="H12" s="13" t="str">
        <f t="shared" si="1"/>
        <v>C</v>
      </c>
      <c r="I12" s="13" t="str">
        <f t="shared" si="2"/>
        <v>No</v>
      </c>
      <c r="J12" s="13">
        <f t="shared" ca="1" si="3"/>
        <v>3</v>
      </c>
      <c r="K12" s="7"/>
      <c r="L12" s="13">
        <v>1013</v>
      </c>
      <c r="M12" s="13" t="str">
        <v>Student 13</v>
      </c>
      <c r="N12" s="13">
        <v>98</v>
      </c>
      <c r="O12" s="13">
        <v>90</v>
      </c>
      <c r="P12" s="13">
        <v>97</v>
      </c>
      <c r="Q12" s="13">
        <v>45261</v>
      </c>
      <c r="R12" s="13">
        <v>285</v>
      </c>
      <c r="S12" s="13" t="str">
        <v>A</v>
      </c>
      <c r="T12" s="13" t="str">
        <v>Yes</v>
      </c>
      <c r="U12" s="7"/>
      <c r="V12" s="7"/>
      <c r="W12" s="7"/>
      <c r="X12" s="7"/>
      <c r="Y12" s="7"/>
      <c r="Z12" s="7"/>
    </row>
    <row r="13" spans="1:26" ht="14.4">
      <c r="A13" s="8">
        <v>1012</v>
      </c>
      <c r="B13" s="8" t="s">
        <v>58</v>
      </c>
      <c r="C13" s="8">
        <v>85</v>
      </c>
      <c r="D13" s="8">
        <v>89</v>
      </c>
      <c r="E13" s="8">
        <v>79</v>
      </c>
      <c r="F13" s="11">
        <v>45081</v>
      </c>
      <c r="G13" s="13">
        <f t="shared" si="0"/>
        <v>253</v>
      </c>
      <c r="H13" s="13" t="str">
        <f t="shared" si="1"/>
        <v>B</v>
      </c>
      <c r="I13" s="13" t="str">
        <f t="shared" si="2"/>
        <v>Yes</v>
      </c>
      <c r="J13" s="13">
        <f t="shared" ca="1" si="3"/>
        <v>2</v>
      </c>
      <c r="K13" s="7"/>
      <c r="L13" s="13">
        <v>1016</v>
      </c>
      <c r="M13" s="13" t="str">
        <v>Student 16</v>
      </c>
      <c r="N13" s="13">
        <v>98</v>
      </c>
      <c r="O13" s="13">
        <v>77</v>
      </c>
      <c r="P13" s="13">
        <v>60</v>
      </c>
      <c r="Q13" s="13">
        <v>45801</v>
      </c>
      <c r="R13" s="13">
        <v>235</v>
      </c>
      <c r="S13" s="13" t="str">
        <v>C</v>
      </c>
      <c r="T13" s="13" t="str">
        <v>No</v>
      </c>
      <c r="U13" s="7"/>
      <c r="V13" s="7"/>
      <c r="W13" s="7"/>
      <c r="X13" s="7"/>
      <c r="Y13" s="7"/>
      <c r="Z13" s="7"/>
    </row>
    <row r="14" spans="1:26" ht="14.4">
      <c r="A14" s="8">
        <v>1013</v>
      </c>
      <c r="B14" s="8" t="s">
        <v>59</v>
      </c>
      <c r="C14" s="8">
        <v>98</v>
      </c>
      <c r="D14" s="8">
        <v>90</v>
      </c>
      <c r="E14" s="8">
        <v>97</v>
      </c>
      <c r="F14" s="11">
        <v>45261</v>
      </c>
      <c r="G14" s="13">
        <f t="shared" si="0"/>
        <v>285</v>
      </c>
      <c r="H14" s="13" t="str">
        <f t="shared" si="1"/>
        <v>A</v>
      </c>
      <c r="I14" s="13" t="str">
        <f t="shared" si="2"/>
        <v>Yes</v>
      </c>
      <c r="J14" s="13">
        <f t="shared" ca="1" si="3"/>
        <v>2</v>
      </c>
      <c r="K14" s="7"/>
      <c r="L14" s="13">
        <v>1019</v>
      </c>
      <c r="M14" s="13" t="str">
        <v>Student 19</v>
      </c>
      <c r="N14" s="13">
        <v>90</v>
      </c>
      <c r="O14" s="13">
        <v>78</v>
      </c>
      <c r="P14" s="13">
        <v>60</v>
      </c>
      <c r="Q14" s="13">
        <v>46341</v>
      </c>
      <c r="R14" s="13">
        <v>228</v>
      </c>
      <c r="S14" s="13" t="str">
        <v>C</v>
      </c>
      <c r="T14" s="13" t="str">
        <v>No</v>
      </c>
      <c r="U14" s="7"/>
      <c r="V14" s="7"/>
      <c r="W14" s="7"/>
      <c r="X14" s="7"/>
      <c r="Y14" s="7"/>
      <c r="Z14" s="7"/>
    </row>
    <row r="15" spans="1:26" ht="14.4">
      <c r="A15" s="8">
        <v>1014</v>
      </c>
      <c r="B15" s="8" t="s">
        <v>60</v>
      </c>
      <c r="C15" s="8">
        <v>93</v>
      </c>
      <c r="D15" s="8">
        <v>40</v>
      </c>
      <c r="E15" s="8">
        <v>44</v>
      </c>
      <c r="F15" s="11">
        <v>45441</v>
      </c>
      <c r="G15" s="13">
        <f t="shared" si="0"/>
        <v>177</v>
      </c>
      <c r="H15" s="13" t="str">
        <f t="shared" si="1"/>
        <v>D</v>
      </c>
      <c r="I15" s="13" t="str">
        <f t="shared" si="2"/>
        <v>No</v>
      </c>
      <c r="J15" s="13">
        <f t="shared" ca="1" si="3"/>
        <v>1</v>
      </c>
      <c r="K15" s="7"/>
      <c r="L15" s="13">
        <v>1020</v>
      </c>
      <c r="M15" s="13" t="str">
        <v>Student 20</v>
      </c>
      <c r="N15" s="13">
        <v>83</v>
      </c>
      <c r="O15" s="13">
        <v>92</v>
      </c>
      <c r="P15" s="13">
        <v>55</v>
      </c>
      <c r="Q15" s="13">
        <v>46521</v>
      </c>
      <c r="R15" s="13">
        <v>230</v>
      </c>
      <c r="S15" s="13" t="str">
        <v>C</v>
      </c>
      <c r="T15" s="13" t="str">
        <v>Yes</v>
      </c>
      <c r="U15" s="7"/>
      <c r="V15" s="7"/>
      <c r="W15" s="7"/>
      <c r="X15" s="7"/>
      <c r="Y15" s="7"/>
      <c r="Z15" s="7"/>
    </row>
    <row r="16" spans="1:26" ht="14.4">
      <c r="A16" s="8">
        <v>1015</v>
      </c>
      <c r="B16" s="8" t="s">
        <v>61</v>
      </c>
      <c r="C16" s="8">
        <v>70</v>
      </c>
      <c r="D16" s="8">
        <v>51</v>
      </c>
      <c r="E16" s="8">
        <v>75</v>
      </c>
      <c r="F16" s="11">
        <v>45621</v>
      </c>
      <c r="G16" s="13">
        <f t="shared" si="0"/>
        <v>196</v>
      </c>
      <c r="H16" s="13" t="str">
        <f t="shared" si="1"/>
        <v>C</v>
      </c>
      <c r="I16" s="13" t="str">
        <f t="shared" si="2"/>
        <v>No</v>
      </c>
      <c r="J16" s="13">
        <f t="shared" ca="1" si="3"/>
        <v>1</v>
      </c>
      <c r="K16" s="7"/>
      <c r="L16" s="7"/>
      <c r="M16" s="7"/>
      <c r="N16" s="7"/>
      <c r="O16" s="7"/>
      <c r="P16" s="7"/>
      <c r="Q16" s="7"/>
      <c r="R16" s="7"/>
      <c r="S16" s="7"/>
      <c r="T16" s="7"/>
      <c r="U16" s="7"/>
      <c r="V16" s="7"/>
      <c r="W16" s="7"/>
      <c r="X16" s="7"/>
      <c r="Y16" s="7"/>
      <c r="Z16" s="7"/>
    </row>
    <row r="17" spans="1:26" ht="14.4">
      <c r="A17" s="8">
        <v>1016</v>
      </c>
      <c r="B17" s="8" t="s">
        <v>62</v>
      </c>
      <c r="C17" s="8">
        <v>98</v>
      </c>
      <c r="D17" s="8">
        <v>77</v>
      </c>
      <c r="E17" s="8">
        <v>60</v>
      </c>
      <c r="F17" s="11">
        <v>45801</v>
      </c>
      <c r="G17" s="13">
        <f t="shared" si="0"/>
        <v>235</v>
      </c>
      <c r="H17" s="13" t="str">
        <f t="shared" si="1"/>
        <v>C</v>
      </c>
      <c r="I17" s="13" t="str">
        <f t="shared" si="2"/>
        <v>No</v>
      </c>
      <c r="J17" s="13">
        <f t="shared" ca="1" si="3"/>
        <v>0</v>
      </c>
      <c r="K17" s="7"/>
      <c r="L17" s="7"/>
      <c r="M17" s="7"/>
      <c r="N17" s="7"/>
      <c r="O17" s="7"/>
      <c r="P17" s="7"/>
      <c r="Q17" s="7"/>
      <c r="R17" s="7"/>
      <c r="S17" s="7"/>
      <c r="T17" s="7"/>
      <c r="U17" s="7"/>
      <c r="V17" s="7"/>
      <c r="W17" s="7"/>
      <c r="X17" s="7"/>
      <c r="Y17" s="7"/>
      <c r="Z17" s="7"/>
    </row>
    <row r="18" spans="1:26" ht="14.4">
      <c r="A18" s="8">
        <v>1017</v>
      </c>
      <c r="B18" s="8" t="s">
        <v>63</v>
      </c>
      <c r="C18" s="8">
        <v>66</v>
      </c>
      <c r="D18" s="8">
        <v>59</v>
      </c>
      <c r="E18" s="8">
        <v>40</v>
      </c>
      <c r="F18" s="11">
        <v>45981</v>
      </c>
      <c r="G18" s="13">
        <f t="shared" si="0"/>
        <v>165</v>
      </c>
      <c r="H18" s="13" t="str">
        <f t="shared" si="1"/>
        <v>D</v>
      </c>
      <c r="I18" s="13" t="str">
        <f t="shared" si="2"/>
        <v>No</v>
      </c>
      <c r="J18" s="13">
        <f t="shared" ca="1" si="3"/>
        <v>0</v>
      </c>
      <c r="K18" s="7"/>
      <c r="L18" s="7"/>
      <c r="M18" s="7"/>
      <c r="N18" s="7"/>
      <c r="O18" s="7"/>
      <c r="P18" s="7"/>
      <c r="Q18" s="7"/>
      <c r="R18" s="7"/>
      <c r="S18" s="7"/>
      <c r="T18" s="7"/>
      <c r="U18" s="7"/>
      <c r="V18" s="7"/>
      <c r="W18" s="7"/>
      <c r="X18" s="7"/>
      <c r="Y18" s="7"/>
      <c r="Z18" s="7"/>
    </row>
    <row r="19" spans="1:26" ht="14.4">
      <c r="A19" s="8">
        <v>1018</v>
      </c>
      <c r="B19" s="8" t="s">
        <v>64</v>
      </c>
      <c r="C19" s="8">
        <v>82</v>
      </c>
      <c r="D19" s="8">
        <v>48</v>
      </c>
      <c r="E19" s="8">
        <v>79</v>
      </c>
      <c r="F19" s="11">
        <v>46161</v>
      </c>
      <c r="G19" s="13">
        <f t="shared" si="0"/>
        <v>209</v>
      </c>
      <c r="H19" s="13" t="str">
        <f t="shared" si="1"/>
        <v>C</v>
      </c>
      <c r="I19" s="13" t="str">
        <f t="shared" si="2"/>
        <v>No</v>
      </c>
      <c r="J19" s="13" t="e">
        <f t="shared" ca="1" si="3"/>
        <v>#NUM!</v>
      </c>
      <c r="K19" s="7"/>
      <c r="L19" s="7"/>
      <c r="M19" s="7"/>
      <c r="N19" s="7"/>
      <c r="O19" s="7"/>
      <c r="P19" s="7"/>
      <c r="Q19" s="7"/>
      <c r="R19" s="7"/>
      <c r="S19" s="7"/>
      <c r="T19" s="7"/>
      <c r="U19" s="7"/>
      <c r="V19" s="7"/>
      <c r="W19" s="7"/>
      <c r="X19" s="7"/>
      <c r="Y19" s="7"/>
      <c r="Z19" s="7"/>
    </row>
    <row r="20" spans="1:26" ht="14.4">
      <c r="A20" s="8">
        <v>1019</v>
      </c>
      <c r="B20" s="8" t="s">
        <v>65</v>
      </c>
      <c r="C20" s="8">
        <v>90</v>
      </c>
      <c r="D20" s="8">
        <v>78</v>
      </c>
      <c r="E20" s="8">
        <v>60</v>
      </c>
      <c r="F20" s="11">
        <v>46341</v>
      </c>
      <c r="G20" s="13">
        <f t="shared" si="0"/>
        <v>228</v>
      </c>
      <c r="H20" s="13" t="str">
        <f t="shared" si="1"/>
        <v>C</v>
      </c>
      <c r="I20" s="13" t="str">
        <f t="shared" si="2"/>
        <v>No</v>
      </c>
      <c r="J20" s="13" t="e">
        <f t="shared" ca="1" si="3"/>
        <v>#NUM!</v>
      </c>
      <c r="K20" s="7"/>
      <c r="L20" s="7"/>
      <c r="M20" s="7"/>
      <c r="N20" s="7"/>
      <c r="O20" s="7"/>
      <c r="P20" s="7"/>
      <c r="Q20" s="7"/>
      <c r="R20" s="7"/>
      <c r="S20" s="7"/>
      <c r="T20" s="7"/>
      <c r="U20" s="7"/>
      <c r="V20" s="7"/>
      <c r="W20" s="7"/>
      <c r="X20" s="7"/>
      <c r="Y20" s="7"/>
      <c r="Z20" s="7"/>
    </row>
    <row r="21" spans="1:26" ht="15.75" customHeight="1">
      <c r="A21" s="8">
        <v>1020</v>
      </c>
      <c r="B21" s="8" t="s">
        <v>66</v>
      </c>
      <c r="C21" s="8">
        <v>83</v>
      </c>
      <c r="D21" s="8">
        <v>92</v>
      </c>
      <c r="E21" s="8">
        <v>55</v>
      </c>
      <c r="F21" s="11">
        <v>46521</v>
      </c>
      <c r="G21" s="13">
        <f t="shared" si="0"/>
        <v>230</v>
      </c>
      <c r="H21" s="13" t="str">
        <f t="shared" si="1"/>
        <v>C</v>
      </c>
      <c r="I21" s="13" t="str">
        <f t="shared" si="2"/>
        <v>Yes</v>
      </c>
      <c r="J21" s="13" t="e">
        <f t="shared" ca="1" si="3"/>
        <v>#NUM!</v>
      </c>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9"/>
      <c r="C25" s="9"/>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22" t="s">
        <v>138</v>
      </c>
      <c r="B26" s="27" t="s">
        <v>137</v>
      </c>
      <c r="C26" s="27"/>
      <c r="D26" s="27"/>
      <c r="E26" s="27"/>
      <c r="F26" s="27"/>
      <c r="G26" s="7">
        <f>COUNTIFS(C2:C21,"&gt;50")</f>
        <v>19</v>
      </c>
      <c r="H26" s="7"/>
      <c r="I26" s="7"/>
      <c r="J26" s="7"/>
      <c r="K26" s="7"/>
      <c r="L26" s="7"/>
      <c r="M26" s="7"/>
      <c r="N26" s="7"/>
      <c r="O26" s="7"/>
      <c r="P26" s="7"/>
      <c r="Q26" s="7"/>
      <c r="R26" s="7"/>
      <c r="S26" s="7"/>
      <c r="T26" s="7"/>
      <c r="U26" s="7"/>
      <c r="V26" s="7"/>
      <c r="W26" s="7"/>
      <c r="X26" s="7"/>
      <c r="Y26" s="7"/>
      <c r="Z26" s="7"/>
    </row>
    <row r="27" spans="1:26" ht="15.75" customHeight="1">
      <c r="A27" s="22" t="s">
        <v>138</v>
      </c>
      <c r="B27" s="27" t="s">
        <v>141</v>
      </c>
      <c r="C27" s="27"/>
      <c r="D27" s="27"/>
      <c r="E27" s="27"/>
      <c r="F27" s="7">
        <f>AVERAGEIFS(C2:C21,C2:C21,"&gt;60")</f>
        <v>82.263157894736835</v>
      </c>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30" t="s">
        <v>142</v>
      </c>
      <c r="C29" s="30"/>
      <c r="D29" s="30"/>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14" t="s">
        <v>41</v>
      </c>
      <c r="C30" s="29" t="s">
        <v>42</v>
      </c>
      <c r="D30" s="29"/>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13">
        <v>1001</v>
      </c>
      <c r="C31" s="28" t="str">
        <f>+VLOOKUP(B31,A2:I21,2,FALSE)</f>
        <v>Student 1</v>
      </c>
      <c r="D31" s="28"/>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L7:T7"/>
    <mergeCell ref="B26:F26"/>
    <mergeCell ref="B27:E27"/>
    <mergeCell ref="C31:D31"/>
    <mergeCell ref="C30:D30"/>
    <mergeCell ref="B29:D29"/>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I28" sqref="I28"/>
    </sheetView>
  </sheetViews>
  <sheetFormatPr defaultColWidth="14.44140625" defaultRowHeight="15" customHeight="1"/>
  <cols>
    <col min="1" max="1" width="7.88671875" customWidth="1"/>
    <col min="2" max="2" width="9.109375" customWidth="1"/>
    <col min="3" max="3" width="7.109375" customWidth="1"/>
    <col min="4" max="4" width="11.5546875" customWidth="1"/>
    <col min="5" max="5" width="8.109375" customWidth="1"/>
    <col min="6" max="6" width="21.109375" customWidth="1"/>
    <col min="7" max="7" width="11.5546875" customWidth="1"/>
    <col min="8" max="8" width="8.6640625" customWidth="1"/>
    <col min="9" max="9" width="9.33203125" customWidth="1"/>
    <col min="10" max="26" width="8.6640625" customWidth="1"/>
  </cols>
  <sheetData>
    <row r="1" spans="1:26" ht="14.4">
      <c r="A1" s="6" t="s">
        <v>67</v>
      </c>
      <c r="B1" s="6" t="s">
        <v>68</v>
      </c>
      <c r="C1" s="6" t="s">
        <v>69</v>
      </c>
      <c r="D1" s="6" t="s">
        <v>70</v>
      </c>
      <c r="E1" s="6" t="s">
        <v>71</v>
      </c>
      <c r="F1" s="10" t="s">
        <v>72</v>
      </c>
      <c r="G1" s="24" t="s">
        <v>136</v>
      </c>
      <c r="H1" s="24" t="s">
        <v>149</v>
      </c>
      <c r="I1" s="24" t="s">
        <v>150</v>
      </c>
      <c r="J1" s="24" t="s">
        <v>151</v>
      </c>
      <c r="K1" s="7"/>
      <c r="L1" s="7"/>
      <c r="M1" s="7"/>
      <c r="N1" s="7"/>
      <c r="O1" s="7"/>
      <c r="P1" s="7"/>
      <c r="Q1" s="7"/>
      <c r="R1" s="7"/>
      <c r="S1" s="7"/>
      <c r="T1" s="7"/>
      <c r="U1" s="7"/>
      <c r="V1" s="7"/>
      <c r="W1" s="7"/>
      <c r="X1" s="7"/>
      <c r="Y1" s="7"/>
      <c r="Z1" s="7"/>
    </row>
    <row r="2" spans="1:26" ht="14.4">
      <c r="A2" s="8">
        <v>2001</v>
      </c>
      <c r="B2" s="19" t="s">
        <v>73</v>
      </c>
      <c r="C2" s="20" t="s">
        <v>74</v>
      </c>
      <c r="D2" s="8" t="s">
        <v>75</v>
      </c>
      <c r="E2" s="21">
        <v>7048</v>
      </c>
      <c r="F2" s="23">
        <v>44927</v>
      </c>
      <c r="G2" s="13" t="str">
        <f>IF(OR(E2&gt;30000),"Eligible","Not Eligible")</f>
        <v>Not Eligible</v>
      </c>
      <c r="H2" s="13">
        <f>ROUND(E2,0)</f>
        <v>7048</v>
      </c>
      <c r="I2" s="13">
        <f>CEILING(E2,100)</f>
        <v>7100</v>
      </c>
      <c r="J2" s="13">
        <f>FLOOR(E2,100)</f>
        <v>7000</v>
      </c>
      <c r="K2" s="7"/>
      <c r="L2" s="7"/>
      <c r="M2" s="7"/>
      <c r="N2" s="7"/>
      <c r="O2" s="7"/>
      <c r="P2" s="7"/>
      <c r="Q2" s="7"/>
      <c r="R2" s="7"/>
      <c r="S2" s="7"/>
      <c r="T2" s="7"/>
      <c r="U2" s="7"/>
      <c r="V2" s="7"/>
      <c r="W2" s="7"/>
      <c r="X2" s="7"/>
      <c r="Y2" s="7"/>
      <c r="Z2" s="7"/>
    </row>
    <row r="3" spans="1:26" ht="14.4">
      <c r="A3" s="8">
        <v>2002</v>
      </c>
      <c r="B3" s="19" t="s">
        <v>76</v>
      </c>
      <c r="C3" s="20" t="s">
        <v>77</v>
      </c>
      <c r="D3" s="8" t="s">
        <v>78</v>
      </c>
      <c r="E3" s="8">
        <v>17428</v>
      </c>
      <c r="F3" s="23">
        <v>44942</v>
      </c>
      <c r="G3" s="13" t="str">
        <f t="shared" ref="G3:G21" si="0">IF(OR(E3&gt;30000),"Eligible","Not Eligible")</f>
        <v>Not Eligible</v>
      </c>
      <c r="H3" s="13">
        <f t="shared" ref="H3:H21" si="1">ROUND(E3,0)</f>
        <v>17428</v>
      </c>
      <c r="I3" s="13">
        <f t="shared" ref="I3:I21" si="2">CEILING(E3,100)</f>
        <v>17500</v>
      </c>
      <c r="J3" s="13">
        <f t="shared" ref="J3:J21" si="3">FLOOR(E3,100)</f>
        <v>17400</v>
      </c>
      <c r="K3" s="7"/>
      <c r="L3" s="7"/>
      <c r="M3" s="7"/>
      <c r="N3" s="7"/>
      <c r="O3" s="7"/>
      <c r="P3" s="7"/>
      <c r="Q3" s="7"/>
      <c r="R3" s="7"/>
      <c r="S3" s="7"/>
      <c r="T3" s="7"/>
      <c r="U3" s="7"/>
      <c r="V3" s="7"/>
      <c r="W3" s="7"/>
      <c r="X3" s="7"/>
      <c r="Y3" s="7"/>
      <c r="Z3" s="7"/>
    </row>
    <row r="4" spans="1:26" ht="14.4">
      <c r="A4" s="8">
        <v>2003</v>
      </c>
      <c r="B4" s="19" t="s">
        <v>79</v>
      </c>
      <c r="C4" s="20" t="s">
        <v>74</v>
      </c>
      <c r="D4" s="8" t="s">
        <v>80</v>
      </c>
      <c r="E4" s="8">
        <v>23672</v>
      </c>
      <c r="F4" s="23">
        <v>44957</v>
      </c>
      <c r="G4" s="13" t="str">
        <f t="shared" si="0"/>
        <v>Not Eligible</v>
      </c>
      <c r="H4" s="13">
        <f t="shared" si="1"/>
        <v>23672</v>
      </c>
      <c r="I4" s="13">
        <f t="shared" si="2"/>
        <v>23700</v>
      </c>
      <c r="J4" s="13">
        <f t="shared" si="3"/>
        <v>23600</v>
      </c>
      <c r="K4" s="7"/>
      <c r="L4" s="7"/>
      <c r="M4" s="7"/>
      <c r="N4" s="7"/>
      <c r="O4" s="7"/>
      <c r="P4" s="7"/>
      <c r="Q4" s="7"/>
      <c r="R4" s="7"/>
      <c r="S4" s="7"/>
      <c r="T4" s="7"/>
      <c r="U4" s="7"/>
      <c r="V4" s="7"/>
      <c r="W4" s="7"/>
      <c r="X4" s="7"/>
      <c r="Y4" s="7"/>
      <c r="Z4" s="7"/>
    </row>
    <row r="5" spans="1:26" ht="14.4">
      <c r="A5" s="8">
        <v>2004</v>
      </c>
      <c r="B5" s="19" t="s">
        <v>76</v>
      </c>
      <c r="C5" s="20" t="s">
        <v>81</v>
      </c>
      <c r="D5" s="8" t="s">
        <v>82</v>
      </c>
      <c r="E5" s="8">
        <v>5264</v>
      </c>
      <c r="F5" s="23">
        <v>44972</v>
      </c>
      <c r="G5" s="13" t="str">
        <f t="shared" si="0"/>
        <v>Not Eligible</v>
      </c>
      <c r="H5" s="13">
        <f t="shared" si="1"/>
        <v>5264</v>
      </c>
      <c r="I5" s="13">
        <f t="shared" si="2"/>
        <v>5300</v>
      </c>
      <c r="J5" s="13">
        <f t="shared" si="3"/>
        <v>5200</v>
      </c>
      <c r="K5" s="7"/>
      <c r="L5" s="7"/>
      <c r="M5" s="7"/>
      <c r="N5" s="7"/>
      <c r="O5" s="7"/>
      <c r="P5" s="7"/>
      <c r="Q5" s="7"/>
      <c r="R5" s="7"/>
      <c r="S5" s="7"/>
      <c r="T5" s="7"/>
      <c r="U5" s="7"/>
      <c r="V5" s="7"/>
      <c r="W5" s="7"/>
      <c r="X5" s="7"/>
      <c r="Y5" s="7"/>
      <c r="Z5" s="7"/>
    </row>
    <row r="6" spans="1:26" ht="14.4">
      <c r="A6" s="8">
        <v>2005</v>
      </c>
      <c r="B6" s="19" t="s">
        <v>73</v>
      </c>
      <c r="C6" s="20" t="s">
        <v>83</v>
      </c>
      <c r="D6" s="8" t="s">
        <v>84</v>
      </c>
      <c r="E6" s="8">
        <v>43388</v>
      </c>
      <c r="F6" s="23">
        <v>44987</v>
      </c>
      <c r="G6" s="13" t="str">
        <f t="shared" si="0"/>
        <v>Eligible</v>
      </c>
      <c r="H6" s="13">
        <f t="shared" si="1"/>
        <v>43388</v>
      </c>
      <c r="I6" s="13">
        <f t="shared" si="2"/>
        <v>43400</v>
      </c>
      <c r="J6" s="13">
        <f t="shared" si="3"/>
        <v>43300</v>
      </c>
      <c r="K6" s="7"/>
      <c r="L6" s="7"/>
      <c r="M6" s="7"/>
      <c r="N6" s="7"/>
      <c r="O6" s="7"/>
      <c r="P6" s="7"/>
      <c r="Q6" s="7"/>
      <c r="R6" s="7"/>
      <c r="S6" s="7"/>
      <c r="T6" s="7"/>
      <c r="U6" s="7"/>
      <c r="V6" s="7"/>
      <c r="W6" s="7"/>
      <c r="X6" s="7"/>
      <c r="Y6" s="7"/>
      <c r="Z6" s="7"/>
    </row>
    <row r="7" spans="1:26" ht="14.4">
      <c r="A7" s="8">
        <v>2006</v>
      </c>
      <c r="B7" s="19" t="s">
        <v>79</v>
      </c>
      <c r="C7" s="20" t="s">
        <v>83</v>
      </c>
      <c r="D7" s="8" t="s">
        <v>85</v>
      </c>
      <c r="E7" s="8">
        <v>19757</v>
      </c>
      <c r="F7" s="23">
        <v>45002</v>
      </c>
      <c r="G7" s="13" t="str">
        <f t="shared" si="0"/>
        <v>Not Eligible</v>
      </c>
      <c r="H7" s="13">
        <f t="shared" si="1"/>
        <v>19757</v>
      </c>
      <c r="I7" s="13">
        <f t="shared" si="2"/>
        <v>19800</v>
      </c>
      <c r="J7" s="13">
        <f t="shared" si="3"/>
        <v>19700</v>
      </c>
      <c r="K7" s="7"/>
      <c r="L7" s="7"/>
      <c r="M7" s="7"/>
      <c r="N7" s="7"/>
      <c r="O7" s="7"/>
      <c r="P7" s="7"/>
      <c r="Q7" s="7"/>
      <c r="R7" s="7"/>
      <c r="S7" s="7"/>
      <c r="T7" s="7"/>
      <c r="U7" s="7"/>
      <c r="V7" s="7"/>
      <c r="W7" s="7"/>
      <c r="X7" s="7"/>
      <c r="Y7" s="7"/>
      <c r="Z7" s="7"/>
    </row>
    <row r="8" spans="1:26" ht="14.4">
      <c r="A8" s="8">
        <v>2007</v>
      </c>
      <c r="B8" s="19" t="s">
        <v>79</v>
      </c>
      <c r="C8" s="20" t="s">
        <v>81</v>
      </c>
      <c r="D8" s="8" t="s">
        <v>86</v>
      </c>
      <c r="E8" s="8">
        <v>32058</v>
      </c>
      <c r="F8" s="23">
        <v>45017</v>
      </c>
      <c r="G8" s="13" t="str">
        <f t="shared" si="0"/>
        <v>Eligible</v>
      </c>
      <c r="H8" s="13">
        <f t="shared" si="1"/>
        <v>32058</v>
      </c>
      <c r="I8" s="13">
        <f t="shared" si="2"/>
        <v>32100</v>
      </c>
      <c r="J8" s="13">
        <f t="shared" si="3"/>
        <v>32000</v>
      </c>
      <c r="K8" s="7"/>
      <c r="L8" s="7"/>
      <c r="M8" s="7"/>
      <c r="N8" s="7"/>
      <c r="O8" s="7"/>
      <c r="P8" s="7"/>
      <c r="Q8" s="7"/>
      <c r="R8" s="7"/>
      <c r="S8" s="7"/>
      <c r="T8" s="7"/>
      <c r="U8" s="7"/>
      <c r="V8" s="7"/>
      <c r="W8" s="7"/>
      <c r="X8" s="7"/>
      <c r="Y8" s="7"/>
      <c r="Z8" s="7"/>
    </row>
    <row r="9" spans="1:26" ht="14.4">
      <c r="A9" s="8">
        <v>2008</v>
      </c>
      <c r="B9" s="19" t="s">
        <v>73</v>
      </c>
      <c r="C9" s="20" t="s">
        <v>81</v>
      </c>
      <c r="D9" s="8" t="s">
        <v>87</v>
      </c>
      <c r="E9" s="8">
        <v>46429</v>
      </c>
      <c r="F9" s="23">
        <v>45032</v>
      </c>
      <c r="G9" s="13" t="str">
        <f t="shared" si="0"/>
        <v>Eligible</v>
      </c>
      <c r="H9" s="13">
        <f t="shared" si="1"/>
        <v>46429</v>
      </c>
      <c r="I9" s="13">
        <f t="shared" si="2"/>
        <v>46500</v>
      </c>
      <c r="J9" s="13">
        <f t="shared" si="3"/>
        <v>46400</v>
      </c>
      <c r="K9" s="7"/>
      <c r="L9" s="7"/>
      <c r="M9" s="7"/>
      <c r="N9" s="7"/>
      <c r="O9" s="7"/>
      <c r="P9" s="7"/>
      <c r="Q9" s="7"/>
      <c r="R9" s="7"/>
      <c r="S9" s="7"/>
      <c r="T9" s="7"/>
      <c r="U9" s="7"/>
      <c r="V9" s="7"/>
      <c r="W9" s="7"/>
      <c r="X9" s="7"/>
      <c r="Y9" s="7"/>
      <c r="Z9" s="7"/>
    </row>
    <row r="10" spans="1:26" ht="14.4">
      <c r="A10" s="8">
        <v>2009</v>
      </c>
      <c r="B10" s="19" t="s">
        <v>76</v>
      </c>
      <c r="C10" s="20" t="s">
        <v>81</v>
      </c>
      <c r="D10" s="8" t="s">
        <v>88</v>
      </c>
      <c r="E10" s="8">
        <v>19746</v>
      </c>
      <c r="F10" s="23">
        <v>45047</v>
      </c>
      <c r="G10" s="13" t="str">
        <f t="shared" si="0"/>
        <v>Not Eligible</v>
      </c>
      <c r="H10" s="13">
        <f t="shared" si="1"/>
        <v>19746</v>
      </c>
      <c r="I10" s="13">
        <f t="shared" si="2"/>
        <v>19800</v>
      </c>
      <c r="J10" s="13">
        <f t="shared" si="3"/>
        <v>19700</v>
      </c>
      <c r="K10" s="7"/>
      <c r="L10" s="7"/>
      <c r="M10" s="7"/>
      <c r="N10" s="7"/>
      <c r="O10" s="7"/>
      <c r="P10" s="7"/>
      <c r="Q10" s="7"/>
      <c r="R10" s="7"/>
      <c r="S10" s="7"/>
      <c r="T10" s="7"/>
      <c r="U10" s="7"/>
      <c r="V10" s="7"/>
      <c r="W10" s="7"/>
      <c r="X10" s="7"/>
      <c r="Y10" s="7"/>
      <c r="Z10" s="7"/>
    </row>
    <row r="11" spans="1:26" ht="14.4">
      <c r="A11" s="8">
        <v>2010</v>
      </c>
      <c r="B11" s="19" t="s">
        <v>73</v>
      </c>
      <c r="C11" s="20" t="s">
        <v>74</v>
      </c>
      <c r="D11" s="8" t="s">
        <v>89</v>
      </c>
      <c r="E11" s="8">
        <v>35185</v>
      </c>
      <c r="F11" s="23">
        <v>45062</v>
      </c>
      <c r="G11" s="13" t="str">
        <f t="shared" si="0"/>
        <v>Eligible</v>
      </c>
      <c r="H11" s="13">
        <f t="shared" si="1"/>
        <v>35185</v>
      </c>
      <c r="I11" s="13">
        <f t="shared" si="2"/>
        <v>35200</v>
      </c>
      <c r="J11" s="13">
        <f t="shared" si="3"/>
        <v>35100</v>
      </c>
      <c r="K11" s="7"/>
      <c r="L11" s="7"/>
      <c r="M11" s="7"/>
      <c r="N11" s="7"/>
      <c r="O11" s="7"/>
      <c r="P11" s="7"/>
      <c r="Q11" s="7"/>
      <c r="R11" s="7"/>
      <c r="S11" s="7"/>
      <c r="T11" s="7"/>
      <c r="U11" s="7"/>
      <c r="V11" s="7"/>
      <c r="W11" s="7"/>
      <c r="X11" s="7"/>
      <c r="Y11" s="7"/>
      <c r="Z11" s="7"/>
    </row>
    <row r="12" spans="1:26" ht="14.4">
      <c r="A12" s="8">
        <v>2011</v>
      </c>
      <c r="B12" s="19" t="s">
        <v>73</v>
      </c>
      <c r="C12" s="20" t="s">
        <v>81</v>
      </c>
      <c r="D12" s="8" t="s">
        <v>90</v>
      </c>
      <c r="E12" s="8">
        <v>33920</v>
      </c>
      <c r="F12" s="23">
        <v>45077</v>
      </c>
      <c r="G12" s="13" t="str">
        <f t="shared" si="0"/>
        <v>Eligible</v>
      </c>
      <c r="H12" s="13">
        <f t="shared" si="1"/>
        <v>33920</v>
      </c>
      <c r="I12" s="13">
        <f t="shared" si="2"/>
        <v>34000</v>
      </c>
      <c r="J12" s="13">
        <f t="shared" si="3"/>
        <v>33900</v>
      </c>
      <c r="K12" s="7"/>
      <c r="L12" s="7"/>
      <c r="M12" s="7"/>
      <c r="N12" s="7"/>
      <c r="O12" s="7"/>
      <c r="P12" s="7"/>
      <c r="Q12" s="7"/>
      <c r="R12" s="7"/>
      <c r="S12" s="7"/>
      <c r="T12" s="7"/>
      <c r="U12" s="7"/>
      <c r="V12" s="7"/>
      <c r="W12" s="7"/>
      <c r="X12" s="7"/>
      <c r="Y12" s="7"/>
      <c r="Z12" s="7"/>
    </row>
    <row r="13" spans="1:26" ht="14.4">
      <c r="A13" s="8">
        <v>2012</v>
      </c>
      <c r="B13" s="19" t="s">
        <v>91</v>
      </c>
      <c r="C13" s="20" t="s">
        <v>83</v>
      </c>
      <c r="D13" s="8" t="s">
        <v>92</v>
      </c>
      <c r="E13" s="8">
        <v>35611</v>
      </c>
      <c r="F13" s="23">
        <v>45092</v>
      </c>
      <c r="G13" s="13" t="str">
        <f t="shared" si="0"/>
        <v>Eligible</v>
      </c>
      <c r="H13" s="13">
        <f t="shared" si="1"/>
        <v>35611</v>
      </c>
      <c r="I13" s="13">
        <f t="shared" si="2"/>
        <v>35700</v>
      </c>
      <c r="J13" s="13">
        <f t="shared" si="3"/>
        <v>35600</v>
      </c>
      <c r="K13" s="7"/>
      <c r="L13" s="7"/>
      <c r="M13" s="7"/>
      <c r="N13" s="7"/>
      <c r="O13" s="7"/>
      <c r="P13" s="7"/>
      <c r="Q13" s="7"/>
      <c r="R13" s="7"/>
      <c r="S13" s="7"/>
      <c r="T13" s="7"/>
      <c r="U13" s="7"/>
      <c r="V13" s="7"/>
      <c r="W13" s="7"/>
      <c r="X13" s="7"/>
      <c r="Y13" s="7"/>
      <c r="Z13" s="7"/>
    </row>
    <row r="14" spans="1:26" ht="14.4">
      <c r="A14" s="8">
        <v>2013</v>
      </c>
      <c r="B14" s="19" t="s">
        <v>93</v>
      </c>
      <c r="C14" s="20" t="s">
        <v>81</v>
      </c>
      <c r="D14" s="8" t="s">
        <v>94</v>
      </c>
      <c r="E14" s="8">
        <v>15560</v>
      </c>
      <c r="F14" s="23">
        <v>45107</v>
      </c>
      <c r="G14" s="13" t="str">
        <f t="shared" si="0"/>
        <v>Not Eligible</v>
      </c>
      <c r="H14" s="13">
        <f t="shared" si="1"/>
        <v>15560</v>
      </c>
      <c r="I14" s="13">
        <f t="shared" si="2"/>
        <v>15600</v>
      </c>
      <c r="J14" s="13">
        <f t="shared" si="3"/>
        <v>15500</v>
      </c>
      <c r="K14" s="7"/>
      <c r="L14" s="7"/>
      <c r="M14" s="7"/>
      <c r="N14" s="7"/>
      <c r="O14" s="7"/>
      <c r="P14" s="7"/>
      <c r="Q14" s="7"/>
      <c r="R14" s="7"/>
      <c r="S14" s="7"/>
      <c r="T14" s="7"/>
      <c r="U14" s="7"/>
      <c r="V14" s="7"/>
      <c r="W14" s="7"/>
      <c r="X14" s="7"/>
      <c r="Y14" s="7"/>
      <c r="Z14" s="7"/>
    </row>
    <row r="15" spans="1:26" ht="14.4">
      <c r="A15" s="8">
        <v>2014</v>
      </c>
      <c r="B15" s="19" t="s">
        <v>93</v>
      </c>
      <c r="C15" s="20" t="s">
        <v>74</v>
      </c>
      <c r="D15" s="8" t="s">
        <v>95</v>
      </c>
      <c r="E15" s="8">
        <v>7283</v>
      </c>
      <c r="F15" s="23">
        <v>45122</v>
      </c>
      <c r="G15" s="13" t="str">
        <f t="shared" si="0"/>
        <v>Not Eligible</v>
      </c>
      <c r="H15" s="13">
        <f t="shared" si="1"/>
        <v>7283</v>
      </c>
      <c r="I15" s="13">
        <f t="shared" si="2"/>
        <v>7300</v>
      </c>
      <c r="J15" s="13">
        <f t="shared" si="3"/>
        <v>7200</v>
      </c>
      <c r="K15" s="7"/>
      <c r="L15" s="7"/>
      <c r="M15" s="7"/>
      <c r="N15" s="7"/>
      <c r="O15" s="7"/>
      <c r="P15" s="7"/>
      <c r="Q15" s="7"/>
      <c r="R15" s="7"/>
      <c r="S15" s="7"/>
      <c r="T15" s="7"/>
      <c r="U15" s="7"/>
      <c r="V15" s="7"/>
      <c r="W15" s="7"/>
      <c r="X15" s="7"/>
      <c r="Y15" s="7"/>
      <c r="Z15" s="7"/>
    </row>
    <row r="16" spans="1:26" ht="14.4">
      <c r="A16" s="8">
        <v>2015</v>
      </c>
      <c r="B16" s="19" t="s">
        <v>93</v>
      </c>
      <c r="C16" s="20" t="s">
        <v>81</v>
      </c>
      <c r="D16" s="8" t="s">
        <v>96</v>
      </c>
      <c r="E16" s="8">
        <v>15678</v>
      </c>
      <c r="F16" s="23">
        <v>45137</v>
      </c>
      <c r="G16" s="13" t="str">
        <f t="shared" si="0"/>
        <v>Not Eligible</v>
      </c>
      <c r="H16" s="13">
        <f t="shared" si="1"/>
        <v>15678</v>
      </c>
      <c r="I16" s="13">
        <f t="shared" si="2"/>
        <v>15700</v>
      </c>
      <c r="J16" s="13">
        <f t="shared" si="3"/>
        <v>15600</v>
      </c>
      <c r="K16" s="7"/>
      <c r="L16" s="7"/>
      <c r="M16" s="7"/>
      <c r="N16" s="7"/>
      <c r="O16" s="7"/>
      <c r="P16" s="7"/>
      <c r="Q16" s="7"/>
      <c r="R16" s="7"/>
      <c r="S16" s="7"/>
      <c r="T16" s="7"/>
      <c r="U16" s="7"/>
      <c r="V16" s="7"/>
      <c r="W16" s="7"/>
      <c r="X16" s="7"/>
      <c r="Y16" s="7"/>
      <c r="Z16" s="7"/>
    </row>
    <row r="17" spans="1:26" ht="14.4">
      <c r="A17" s="8">
        <v>2016</v>
      </c>
      <c r="B17" s="19" t="s">
        <v>79</v>
      </c>
      <c r="C17" s="20" t="s">
        <v>81</v>
      </c>
      <c r="D17" s="8" t="s">
        <v>97</v>
      </c>
      <c r="E17" s="8">
        <v>5277</v>
      </c>
      <c r="F17" s="23">
        <v>45152</v>
      </c>
      <c r="G17" s="13" t="str">
        <f t="shared" si="0"/>
        <v>Not Eligible</v>
      </c>
      <c r="H17" s="13">
        <f t="shared" si="1"/>
        <v>5277</v>
      </c>
      <c r="I17" s="13">
        <f t="shared" si="2"/>
        <v>5300</v>
      </c>
      <c r="J17" s="13">
        <f t="shared" si="3"/>
        <v>5200</v>
      </c>
      <c r="K17" s="7"/>
      <c r="L17" s="7"/>
      <c r="M17" s="7"/>
      <c r="N17" s="7"/>
      <c r="O17" s="7"/>
      <c r="P17" s="7"/>
      <c r="Q17" s="7"/>
      <c r="R17" s="7"/>
      <c r="S17" s="7"/>
      <c r="T17" s="7"/>
      <c r="U17" s="7"/>
      <c r="V17" s="7"/>
      <c r="W17" s="7"/>
      <c r="X17" s="7"/>
      <c r="Y17" s="7"/>
      <c r="Z17" s="7"/>
    </row>
    <row r="18" spans="1:26" ht="14.4">
      <c r="A18" s="8">
        <v>2017</v>
      </c>
      <c r="B18" s="19" t="s">
        <v>91</v>
      </c>
      <c r="C18" s="20" t="s">
        <v>83</v>
      </c>
      <c r="D18" s="8" t="s">
        <v>98</v>
      </c>
      <c r="E18" s="8">
        <v>41871</v>
      </c>
      <c r="F18" s="23">
        <v>45167</v>
      </c>
      <c r="G18" s="13" t="str">
        <f t="shared" si="0"/>
        <v>Eligible</v>
      </c>
      <c r="H18" s="13">
        <f t="shared" si="1"/>
        <v>41871</v>
      </c>
      <c r="I18" s="13">
        <f t="shared" si="2"/>
        <v>41900</v>
      </c>
      <c r="J18" s="13">
        <f t="shared" si="3"/>
        <v>41800</v>
      </c>
      <c r="K18" s="7"/>
      <c r="L18" s="7"/>
      <c r="M18" s="7"/>
      <c r="N18" s="7"/>
      <c r="O18" s="7"/>
      <c r="P18" s="7"/>
      <c r="Q18" s="7"/>
      <c r="R18" s="7"/>
      <c r="S18" s="7"/>
      <c r="T18" s="7"/>
      <c r="U18" s="7"/>
      <c r="V18" s="7"/>
      <c r="W18" s="7"/>
      <c r="X18" s="7"/>
      <c r="Y18" s="7"/>
      <c r="Z18" s="7"/>
    </row>
    <row r="19" spans="1:26" ht="14.4">
      <c r="A19" s="8">
        <v>2018</v>
      </c>
      <c r="B19" s="19" t="s">
        <v>91</v>
      </c>
      <c r="C19" s="20" t="s">
        <v>77</v>
      </c>
      <c r="D19" s="8" t="s">
        <v>99</v>
      </c>
      <c r="E19" s="8">
        <v>38161</v>
      </c>
      <c r="F19" s="23">
        <v>45182</v>
      </c>
      <c r="G19" s="13" t="str">
        <f t="shared" si="0"/>
        <v>Eligible</v>
      </c>
      <c r="H19" s="13">
        <f t="shared" si="1"/>
        <v>38161</v>
      </c>
      <c r="I19" s="13">
        <f t="shared" si="2"/>
        <v>38200</v>
      </c>
      <c r="J19" s="13">
        <f t="shared" si="3"/>
        <v>38100</v>
      </c>
      <c r="K19" s="7"/>
      <c r="L19" s="7"/>
      <c r="M19" s="7"/>
      <c r="N19" s="7"/>
      <c r="O19" s="7"/>
      <c r="P19" s="7"/>
      <c r="Q19" s="7"/>
      <c r="R19" s="7"/>
      <c r="S19" s="7"/>
      <c r="T19" s="7"/>
      <c r="U19" s="7"/>
      <c r="V19" s="7"/>
      <c r="W19" s="7"/>
      <c r="X19" s="7"/>
      <c r="Y19" s="7"/>
      <c r="Z19" s="7"/>
    </row>
    <row r="20" spans="1:26" ht="14.4">
      <c r="A20" s="8">
        <v>2019</v>
      </c>
      <c r="B20" s="19" t="s">
        <v>79</v>
      </c>
      <c r="C20" s="20" t="s">
        <v>77</v>
      </c>
      <c r="D20" s="8" t="s">
        <v>100</v>
      </c>
      <c r="E20" s="8">
        <v>30436</v>
      </c>
      <c r="F20" s="23">
        <v>45197</v>
      </c>
      <c r="G20" s="13" t="str">
        <f t="shared" si="0"/>
        <v>Eligible</v>
      </c>
      <c r="H20" s="13">
        <f t="shared" si="1"/>
        <v>30436</v>
      </c>
      <c r="I20" s="13">
        <f t="shared" si="2"/>
        <v>30500</v>
      </c>
      <c r="J20" s="13">
        <f t="shared" si="3"/>
        <v>30400</v>
      </c>
      <c r="K20" s="7"/>
      <c r="L20" s="7"/>
      <c r="M20" s="7"/>
      <c r="N20" s="7"/>
      <c r="O20" s="7"/>
      <c r="P20" s="7"/>
      <c r="Q20" s="7"/>
      <c r="R20" s="7"/>
      <c r="S20" s="7"/>
      <c r="T20" s="7"/>
      <c r="U20" s="7"/>
      <c r="V20" s="7"/>
      <c r="W20" s="7"/>
      <c r="X20" s="7"/>
      <c r="Y20" s="7"/>
      <c r="Z20" s="7"/>
    </row>
    <row r="21" spans="1:26" ht="15.75" customHeight="1">
      <c r="A21" s="8">
        <v>2020</v>
      </c>
      <c r="B21" s="19" t="s">
        <v>76</v>
      </c>
      <c r="C21" s="20" t="s">
        <v>77</v>
      </c>
      <c r="D21" s="8" t="s">
        <v>101</v>
      </c>
      <c r="E21" s="8">
        <v>33953</v>
      </c>
      <c r="F21" s="23">
        <v>45212</v>
      </c>
      <c r="G21" s="13" t="str">
        <f t="shared" si="0"/>
        <v>Eligible</v>
      </c>
      <c r="H21" s="13">
        <f t="shared" si="1"/>
        <v>33953</v>
      </c>
      <c r="I21" s="13">
        <f t="shared" si="2"/>
        <v>34000</v>
      </c>
      <c r="J21" s="13">
        <f t="shared" si="3"/>
        <v>33900</v>
      </c>
      <c r="K21" s="7"/>
      <c r="L21" s="7"/>
      <c r="M21" s="7"/>
      <c r="N21" s="7"/>
      <c r="O21" s="7"/>
      <c r="P21" s="7"/>
      <c r="Q21" s="7"/>
      <c r="R21" s="7"/>
      <c r="S21" s="7"/>
      <c r="T21" s="7"/>
      <c r="U21" s="7"/>
      <c r="V21" s="7"/>
      <c r="W21" s="7"/>
      <c r="X21" s="7"/>
      <c r="Y21" s="7"/>
      <c r="Z21" s="7"/>
    </row>
    <row r="22" spans="1:26" ht="15.75" customHeight="1">
      <c r="A22" s="18"/>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17"/>
      <c r="B23" s="1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16"/>
      <c r="B24" s="31" t="s">
        <v>139</v>
      </c>
      <c r="C24" s="31"/>
      <c r="D24" s="7"/>
      <c r="E24" s="22" t="s">
        <v>138</v>
      </c>
      <c r="F24" s="25" t="s">
        <v>140</v>
      </c>
      <c r="G24" s="26">
        <f>SUMIFS(E2:E21,C2:C21,"East")</f>
        <v>173932</v>
      </c>
      <c r="H24" s="7"/>
      <c r="I24" s="7"/>
      <c r="J24" s="7"/>
      <c r="K24" s="7"/>
      <c r="L24" s="7"/>
      <c r="M24" s="7"/>
      <c r="N24" s="7"/>
      <c r="O24" s="7"/>
      <c r="P24" s="7"/>
      <c r="Q24" s="7"/>
      <c r="R24" s="7"/>
      <c r="S24" s="7"/>
      <c r="T24" s="7"/>
      <c r="U24" s="7"/>
      <c r="V24" s="7"/>
      <c r="W24" s="7"/>
      <c r="X24" s="7"/>
      <c r="Y24" s="7"/>
      <c r="Z24" s="7"/>
    </row>
    <row r="25" spans="1:26" ht="15.75" customHeight="1">
      <c r="A25" s="7"/>
      <c r="B25" s="15" t="s">
        <v>133</v>
      </c>
      <c r="C25" s="15" t="s">
        <v>132</v>
      </c>
      <c r="D25" s="7"/>
      <c r="E25" s="32" t="s">
        <v>138</v>
      </c>
      <c r="F25" s="35" t="s">
        <v>146</v>
      </c>
      <c r="G25" s="35"/>
      <c r="H25" s="7">
        <f>_xlfn.XMATCH("Mouse",B2:B21)</f>
        <v>3</v>
      </c>
      <c r="I25" s="7"/>
      <c r="J25" s="7"/>
      <c r="K25" s="7"/>
      <c r="L25" s="7"/>
      <c r="M25" s="7"/>
      <c r="N25" s="7"/>
      <c r="O25" s="7"/>
      <c r="P25" s="7"/>
      <c r="Q25" s="7"/>
      <c r="R25" s="7"/>
      <c r="S25" s="7"/>
      <c r="T25" s="7"/>
      <c r="U25" s="7"/>
      <c r="V25" s="7"/>
      <c r="W25" s="7"/>
      <c r="X25" s="7"/>
      <c r="Y25" s="7"/>
      <c r="Z25" s="7"/>
    </row>
    <row r="26" spans="1:26" ht="15.75" customHeight="1">
      <c r="A26" s="7"/>
      <c r="B26" s="13">
        <v>2006</v>
      </c>
      <c r="C26" s="13">
        <f>VLOOKUP(B26, $A$2:$F$21, 5, FALSE)</f>
        <v>19757</v>
      </c>
      <c r="D26" s="7"/>
      <c r="E26" s="32" t="s">
        <v>138</v>
      </c>
      <c r="F26" s="33" t="s">
        <v>147</v>
      </c>
      <c r="G26" s="7">
        <f ca="1">SUM(OFFSET(A2,0,4,5,1))</f>
        <v>96800</v>
      </c>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B24:C24"/>
    <mergeCell ref="F25:G25"/>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F1" sqref="F1:H21"/>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6" width="10.44140625" customWidth="1"/>
    <col min="7" max="7" width="13.21875" customWidth="1"/>
    <col min="8" max="8" width="12.77734375" customWidth="1"/>
    <col min="9" max="25" width="8.6640625" customWidth="1"/>
  </cols>
  <sheetData>
    <row r="1" spans="1:25" ht="14.4">
      <c r="A1" s="6" t="s">
        <v>102</v>
      </c>
      <c r="B1" s="6" t="s">
        <v>42</v>
      </c>
      <c r="C1" s="6" t="s">
        <v>103</v>
      </c>
      <c r="D1" s="6" t="s">
        <v>104</v>
      </c>
      <c r="E1" s="10" t="s">
        <v>105</v>
      </c>
      <c r="F1" s="24" t="s">
        <v>143</v>
      </c>
      <c r="G1" s="24" t="s">
        <v>145</v>
      </c>
      <c r="H1" s="24" t="s">
        <v>144</v>
      </c>
      <c r="I1" s="7"/>
      <c r="J1" s="7"/>
      <c r="K1" s="7"/>
      <c r="L1" s="7"/>
      <c r="M1" s="7"/>
      <c r="N1" s="7"/>
      <c r="O1" s="7"/>
      <c r="P1" s="7"/>
      <c r="Q1" s="7"/>
      <c r="R1" s="7"/>
      <c r="S1" s="7"/>
      <c r="T1" s="7"/>
      <c r="U1" s="7"/>
      <c r="V1" s="7"/>
      <c r="W1" s="7"/>
      <c r="X1" s="7"/>
      <c r="Y1" s="7"/>
    </row>
    <row r="2" spans="1:25" ht="14.4">
      <c r="A2" s="8">
        <v>3001</v>
      </c>
      <c r="B2" s="8" t="s">
        <v>106</v>
      </c>
      <c r="C2" s="8" t="s">
        <v>107</v>
      </c>
      <c r="D2" s="8">
        <v>86766</v>
      </c>
      <c r="E2" s="38">
        <v>42005</v>
      </c>
      <c r="F2" s="13" t="str">
        <f>LEFT(B2,FIND(" ",B2)-1)</f>
        <v>Employee</v>
      </c>
      <c r="G2" s="39" t="str">
        <f>UPPER(B2)</f>
        <v>EMPLOYEE 1</v>
      </c>
      <c r="H2" s="13" t="str">
        <f>LOWER(B2)</f>
        <v>employee 1</v>
      </c>
      <c r="I2" s="7"/>
      <c r="J2" s="7"/>
      <c r="K2" s="7"/>
      <c r="L2" s="7"/>
      <c r="M2" s="7"/>
      <c r="N2" s="7"/>
      <c r="O2" s="7"/>
      <c r="P2" s="7"/>
      <c r="Q2" s="7"/>
      <c r="R2" s="7"/>
      <c r="S2" s="7"/>
      <c r="T2" s="7"/>
      <c r="U2" s="7"/>
      <c r="V2" s="7"/>
      <c r="W2" s="7"/>
      <c r="X2" s="7"/>
      <c r="Y2" s="7"/>
    </row>
    <row r="3" spans="1:25" ht="14.4">
      <c r="A3" s="8">
        <v>3002</v>
      </c>
      <c r="B3" s="8" t="s">
        <v>108</v>
      </c>
      <c r="C3" s="8" t="s">
        <v>107</v>
      </c>
      <c r="D3" s="8">
        <v>31943</v>
      </c>
      <c r="E3" s="38">
        <v>42255</v>
      </c>
      <c r="F3" s="13" t="str">
        <f t="shared" ref="F3:F21" si="0">LEFT(B3,FIND(" ",B3)-1)</f>
        <v>Employee</v>
      </c>
      <c r="G3" s="39" t="str">
        <f t="shared" ref="G3:G21" si="1">UPPER(B3)</f>
        <v>EMPLOYEE 2</v>
      </c>
      <c r="H3" s="13" t="str">
        <f t="shared" ref="H3:H21" si="2">LOWER(B3)</f>
        <v>employee 2</v>
      </c>
      <c r="I3" s="7"/>
      <c r="J3" s="7"/>
      <c r="K3" s="7"/>
      <c r="L3" s="7"/>
      <c r="M3" s="7"/>
      <c r="N3" s="7"/>
      <c r="O3" s="7"/>
      <c r="P3" s="7"/>
      <c r="Q3" s="7"/>
      <c r="R3" s="7"/>
      <c r="S3" s="7"/>
      <c r="T3" s="7"/>
      <c r="U3" s="7"/>
      <c r="V3" s="7"/>
      <c r="W3" s="7"/>
      <c r="X3" s="7"/>
      <c r="Y3" s="7"/>
    </row>
    <row r="4" spans="1:25" ht="14.4">
      <c r="A4" s="8">
        <v>3003</v>
      </c>
      <c r="B4" s="8" t="s">
        <v>109</v>
      </c>
      <c r="C4" s="8" t="s">
        <v>110</v>
      </c>
      <c r="D4" s="8">
        <v>63374</v>
      </c>
      <c r="E4" s="38">
        <v>42505</v>
      </c>
      <c r="F4" s="13" t="str">
        <f t="shared" si="0"/>
        <v>Employee</v>
      </c>
      <c r="G4" s="39" t="str">
        <f t="shared" si="1"/>
        <v>EMPLOYEE 3</v>
      </c>
      <c r="H4" s="13" t="str">
        <f t="shared" si="2"/>
        <v>employee 3</v>
      </c>
      <c r="I4" s="7"/>
      <c r="J4" s="7"/>
      <c r="K4" s="7"/>
      <c r="L4" s="7"/>
      <c r="M4" s="7"/>
      <c r="N4" s="7"/>
      <c r="O4" s="7"/>
      <c r="P4" s="7"/>
      <c r="Q4" s="7"/>
      <c r="R4" s="7"/>
      <c r="S4" s="7"/>
      <c r="T4" s="7"/>
      <c r="U4" s="7"/>
      <c r="V4" s="7"/>
      <c r="W4" s="7"/>
      <c r="X4" s="7"/>
      <c r="Y4" s="7"/>
    </row>
    <row r="5" spans="1:25" ht="14.4">
      <c r="A5" s="8">
        <v>3004</v>
      </c>
      <c r="B5" s="8" t="s">
        <v>111</v>
      </c>
      <c r="C5" s="8" t="s">
        <v>107</v>
      </c>
      <c r="D5" s="8">
        <v>109972</v>
      </c>
      <c r="E5" s="38">
        <v>42755</v>
      </c>
      <c r="F5" s="13" t="str">
        <f t="shared" si="0"/>
        <v>Employee</v>
      </c>
      <c r="G5" s="39" t="str">
        <f t="shared" si="1"/>
        <v>EMPLOYEE 4</v>
      </c>
      <c r="H5" s="13" t="str">
        <f t="shared" si="2"/>
        <v>employee 4</v>
      </c>
      <c r="I5" s="7"/>
      <c r="J5" s="7"/>
      <c r="K5" s="7"/>
      <c r="L5" s="7"/>
      <c r="M5" s="7"/>
      <c r="N5" s="7"/>
      <c r="O5" s="7"/>
      <c r="P5" s="7"/>
      <c r="Q5" s="7"/>
      <c r="R5" s="7"/>
      <c r="S5" s="7"/>
      <c r="T5" s="7"/>
      <c r="U5" s="7"/>
      <c r="V5" s="7"/>
      <c r="W5" s="7"/>
      <c r="X5" s="7"/>
      <c r="Y5" s="7"/>
    </row>
    <row r="6" spans="1:25" ht="14.4">
      <c r="A6" s="8">
        <v>3005</v>
      </c>
      <c r="B6" s="8" t="s">
        <v>112</v>
      </c>
      <c r="C6" s="8" t="s">
        <v>113</v>
      </c>
      <c r="D6" s="8">
        <v>54149</v>
      </c>
      <c r="E6" s="38">
        <v>43005</v>
      </c>
      <c r="F6" s="13" t="str">
        <f t="shared" si="0"/>
        <v>Employee</v>
      </c>
      <c r="G6" s="39" t="str">
        <f t="shared" si="1"/>
        <v>EMPLOYEE 5</v>
      </c>
      <c r="H6" s="13" t="str">
        <f t="shared" si="2"/>
        <v>employee 5</v>
      </c>
      <c r="I6" s="7"/>
      <c r="J6" s="7"/>
      <c r="K6" s="7"/>
      <c r="L6" s="7"/>
      <c r="M6" s="7"/>
      <c r="N6" s="7"/>
      <c r="O6" s="7"/>
      <c r="P6" s="7"/>
      <c r="Q6" s="7"/>
      <c r="R6" s="7"/>
      <c r="S6" s="7"/>
      <c r="T6" s="7"/>
      <c r="U6" s="7"/>
      <c r="V6" s="7"/>
      <c r="W6" s="7"/>
      <c r="X6" s="7"/>
      <c r="Y6" s="7"/>
    </row>
    <row r="7" spans="1:25" ht="14.4">
      <c r="A7" s="8">
        <v>3006</v>
      </c>
      <c r="B7" s="8" t="s">
        <v>114</v>
      </c>
      <c r="C7" s="8" t="s">
        <v>113</v>
      </c>
      <c r="D7" s="8">
        <v>78689</v>
      </c>
      <c r="E7" s="38">
        <v>43255</v>
      </c>
      <c r="F7" s="13" t="str">
        <f t="shared" si="0"/>
        <v>Employee</v>
      </c>
      <c r="G7" s="39" t="str">
        <f t="shared" si="1"/>
        <v>EMPLOYEE 6</v>
      </c>
      <c r="H7" s="13" t="str">
        <f t="shared" si="2"/>
        <v>employee 6</v>
      </c>
      <c r="I7" s="7"/>
      <c r="J7" s="7"/>
      <c r="K7" s="7"/>
      <c r="L7" s="7"/>
      <c r="M7" s="7"/>
      <c r="N7" s="7"/>
      <c r="O7" s="7"/>
      <c r="P7" s="7"/>
      <c r="Q7" s="7"/>
      <c r="R7" s="7"/>
      <c r="S7" s="7"/>
      <c r="T7" s="7"/>
      <c r="U7" s="7"/>
      <c r="V7" s="7"/>
      <c r="W7" s="7"/>
      <c r="X7" s="7"/>
      <c r="Y7" s="7"/>
    </row>
    <row r="8" spans="1:25" ht="14.4">
      <c r="A8" s="8">
        <v>3007</v>
      </c>
      <c r="B8" s="8" t="s">
        <v>115</v>
      </c>
      <c r="C8" s="8" t="s">
        <v>116</v>
      </c>
      <c r="D8" s="8">
        <v>35960</v>
      </c>
      <c r="E8" s="38">
        <v>43505</v>
      </c>
      <c r="F8" s="13" t="str">
        <f t="shared" si="0"/>
        <v>Employee</v>
      </c>
      <c r="G8" s="39" t="str">
        <f t="shared" si="1"/>
        <v>EMPLOYEE 7</v>
      </c>
      <c r="H8" s="13" t="str">
        <f t="shared" si="2"/>
        <v>employee 7</v>
      </c>
      <c r="I8" s="7"/>
      <c r="J8" s="7"/>
      <c r="K8" s="7"/>
      <c r="L8" s="7"/>
      <c r="M8" s="7"/>
      <c r="N8" s="7"/>
      <c r="O8" s="7"/>
      <c r="P8" s="7"/>
      <c r="Q8" s="7"/>
      <c r="R8" s="7"/>
      <c r="S8" s="7"/>
      <c r="T8" s="7"/>
      <c r="U8" s="7"/>
      <c r="V8" s="7"/>
      <c r="W8" s="7"/>
      <c r="X8" s="7"/>
      <c r="Y8" s="7"/>
    </row>
    <row r="9" spans="1:25" ht="14.4">
      <c r="A9" s="8">
        <v>3008</v>
      </c>
      <c r="B9" s="8" t="s">
        <v>117</v>
      </c>
      <c r="C9" s="8" t="s">
        <v>113</v>
      </c>
      <c r="D9" s="8">
        <v>91659</v>
      </c>
      <c r="E9" s="38">
        <v>43755</v>
      </c>
      <c r="F9" s="13" t="str">
        <f t="shared" si="0"/>
        <v>Employee</v>
      </c>
      <c r="G9" s="39" t="str">
        <f t="shared" si="1"/>
        <v>EMPLOYEE 8</v>
      </c>
      <c r="H9" s="13" t="str">
        <f t="shared" si="2"/>
        <v>employee 8</v>
      </c>
      <c r="I9" s="7"/>
      <c r="J9" s="7"/>
      <c r="K9" s="7"/>
      <c r="L9" s="7"/>
      <c r="M9" s="7"/>
      <c r="N9" s="7"/>
      <c r="O9" s="7"/>
      <c r="P9" s="7"/>
      <c r="Q9" s="7"/>
      <c r="R9" s="7"/>
      <c r="S9" s="7"/>
      <c r="T9" s="7"/>
      <c r="U9" s="7"/>
      <c r="V9" s="7"/>
      <c r="W9" s="7"/>
      <c r="X9" s="7"/>
      <c r="Y9" s="7"/>
    </row>
    <row r="10" spans="1:25" ht="14.4">
      <c r="A10" s="8">
        <v>3009</v>
      </c>
      <c r="B10" s="8" t="s">
        <v>118</v>
      </c>
      <c r="C10" s="8" t="s">
        <v>113</v>
      </c>
      <c r="D10" s="8">
        <v>90423</v>
      </c>
      <c r="E10" s="38">
        <v>44005</v>
      </c>
      <c r="F10" s="13" t="str">
        <f t="shared" si="0"/>
        <v>Employee</v>
      </c>
      <c r="G10" s="39" t="str">
        <f t="shared" si="1"/>
        <v>EMPLOYEE 9</v>
      </c>
      <c r="H10" s="13" t="str">
        <f t="shared" si="2"/>
        <v>employee 9</v>
      </c>
      <c r="I10" s="7"/>
      <c r="J10" s="7"/>
      <c r="K10" s="7"/>
      <c r="L10" s="7"/>
      <c r="M10" s="7"/>
      <c r="N10" s="7"/>
      <c r="O10" s="7"/>
      <c r="P10" s="7"/>
      <c r="Q10" s="7"/>
      <c r="R10" s="7"/>
      <c r="S10" s="7"/>
      <c r="T10" s="7"/>
      <c r="U10" s="7"/>
      <c r="V10" s="7"/>
      <c r="W10" s="7"/>
      <c r="X10" s="7"/>
      <c r="Y10" s="7"/>
    </row>
    <row r="11" spans="1:25" ht="14.4">
      <c r="A11" s="8">
        <v>3010</v>
      </c>
      <c r="B11" s="8" t="s">
        <v>119</v>
      </c>
      <c r="C11" s="8" t="s">
        <v>110</v>
      </c>
      <c r="D11" s="8">
        <v>107877</v>
      </c>
      <c r="E11" s="38">
        <v>44255</v>
      </c>
      <c r="F11" s="13" t="str">
        <f t="shared" si="0"/>
        <v>Employee</v>
      </c>
      <c r="G11" s="39" t="str">
        <f t="shared" si="1"/>
        <v>EMPLOYEE 10</v>
      </c>
      <c r="H11" s="13" t="str">
        <f t="shared" si="2"/>
        <v>employee 10</v>
      </c>
      <c r="I11" s="7"/>
      <c r="J11" s="7"/>
      <c r="K11" s="7"/>
      <c r="L11" s="7"/>
      <c r="M11" s="7"/>
      <c r="N11" s="7"/>
      <c r="O11" s="7"/>
      <c r="P11" s="7"/>
      <c r="Q11" s="7"/>
      <c r="R11" s="7"/>
      <c r="S11" s="7"/>
      <c r="T11" s="7"/>
      <c r="U11" s="7"/>
      <c r="V11" s="7"/>
      <c r="W11" s="7"/>
      <c r="X11" s="7"/>
      <c r="Y11" s="7"/>
    </row>
    <row r="12" spans="1:25" ht="14.4">
      <c r="A12" s="8">
        <v>3011</v>
      </c>
      <c r="B12" s="8" t="s">
        <v>120</v>
      </c>
      <c r="C12" s="8" t="s">
        <v>107</v>
      </c>
      <c r="D12" s="8">
        <v>107634</v>
      </c>
      <c r="E12" s="38">
        <v>44505</v>
      </c>
      <c r="F12" s="13" t="str">
        <f t="shared" si="0"/>
        <v>Employee</v>
      </c>
      <c r="G12" s="39" t="str">
        <f t="shared" si="1"/>
        <v>EMPLOYEE 11</v>
      </c>
      <c r="H12" s="13" t="str">
        <f t="shared" si="2"/>
        <v>employee 11</v>
      </c>
      <c r="I12" s="7"/>
      <c r="J12" s="7"/>
      <c r="K12" s="7"/>
      <c r="L12" s="7"/>
      <c r="M12" s="7"/>
      <c r="N12" s="7"/>
      <c r="O12" s="7"/>
      <c r="P12" s="7"/>
      <c r="Q12" s="7"/>
      <c r="R12" s="7"/>
      <c r="S12" s="7"/>
      <c r="T12" s="7"/>
      <c r="U12" s="7"/>
      <c r="V12" s="7"/>
      <c r="W12" s="7"/>
      <c r="X12" s="7"/>
      <c r="Y12" s="7"/>
    </row>
    <row r="13" spans="1:25" ht="14.4">
      <c r="A13" s="8">
        <v>3012</v>
      </c>
      <c r="B13" s="8" t="s">
        <v>121</v>
      </c>
      <c r="C13" s="8" t="s">
        <v>107</v>
      </c>
      <c r="D13" s="8">
        <v>35226</v>
      </c>
      <c r="E13" s="38">
        <v>44755</v>
      </c>
      <c r="F13" s="13" t="str">
        <f t="shared" si="0"/>
        <v>Employee</v>
      </c>
      <c r="G13" s="39" t="str">
        <f t="shared" si="1"/>
        <v>EMPLOYEE 12</v>
      </c>
      <c r="H13" s="13" t="str">
        <f t="shared" si="2"/>
        <v>employee 12</v>
      </c>
      <c r="I13" s="7"/>
      <c r="J13" s="7"/>
      <c r="K13" s="7"/>
      <c r="L13" s="7"/>
      <c r="M13" s="7"/>
      <c r="N13" s="7"/>
      <c r="O13" s="7"/>
      <c r="P13" s="7"/>
      <c r="Q13" s="7"/>
      <c r="R13" s="7"/>
      <c r="S13" s="7"/>
      <c r="T13" s="7"/>
      <c r="U13" s="7"/>
      <c r="V13" s="7"/>
      <c r="W13" s="7"/>
      <c r="X13" s="7"/>
      <c r="Y13" s="7"/>
    </row>
    <row r="14" spans="1:25" ht="14.4">
      <c r="A14" s="8">
        <v>3013</v>
      </c>
      <c r="B14" s="8" t="s">
        <v>122</v>
      </c>
      <c r="C14" s="8" t="s">
        <v>110</v>
      </c>
      <c r="D14" s="8">
        <v>40872</v>
      </c>
      <c r="E14" s="38">
        <v>45005</v>
      </c>
      <c r="F14" s="13" t="str">
        <f t="shared" si="0"/>
        <v>Employee</v>
      </c>
      <c r="G14" s="39" t="str">
        <f t="shared" si="1"/>
        <v>EMPLOYEE 13</v>
      </c>
      <c r="H14" s="13" t="str">
        <f t="shared" si="2"/>
        <v>employee 13</v>
      </c>
      <c r="I14" s="7"/>
      <c r="J14" s="7"/>
      <c r="K14" s="7"/>
      <c r="L14" s="7"/>
      <c r="M14" s="7"/>
      <c r="N14" s="7"/>
      <c r="O14" s="7"/>
      <c r="P14" s="7"/>
      <c r="Q14" s="7"/>
      <c r="R14" s="7"/>
      <c r="S14" s="7"/>
      <c r="T14" s="7"/>
      <c r="U14" s="7"/>
      <c r="V14" s="7"/>
      <c r="W14" s="7"/>
      <c r="X14" s="7"/>
      <c r="Y14" s="7"/>
    </row>
    <row r="15" spans="1:25" ht="14.4">
      <c r="A15" s="8">
        <v>3014</v>
      </c>
      <c r="B15" s="8" t="s">
        <v>123</v>
      </c>
      <c r="C15" s="8" t="s">
        <v>110</v>
      </c>
      <c r="D15" s="8">
        <v>55378</v>
      </c>
      <c r="E15" s="38">
        <v>45255</v>
      </c>
      <c r="F15" s="13" t="str">
        <f t="shared" si="0"/>
        <v>Employee</v>
      </c>
      <c r="G15" s="39" t="str">
        <f t="shared" si="1"/>
        <v>EMPLOYEE 14</v>
      </c>
      <c r="H15" s="13" t="str">
        <f t="shared" si="2"/>
        <v>employee 14</v>
      </c>
      <c r="I15" s="7"/>
      <c r="J15" s="7"/>
      <c r="K15" s="7"/>
      <c r="L15" s="7"/>
      <c r="M15" s="7"/>
      <c r="N15" s="7"/>
      <c r="O15" s="7"/>
      <c r="P15" s="7"/>
      <c r="Q15" s="7"/>
      <c r="R15" s="7"/>
      <c r="S15" s="7"/>
      <c r="T15" s="7"/>
      <c r="U15" s="7"/>
      <c r="V15" s="7"/>
      <c r="W15" s="7"/>
      <c r="X15" s="7"/>
      <c r="Y15" s="7"/>
    </row>
    <row r="16" spans="1:25" ht="14.4">
      <c r="A16" s="8">
        <v>3015</v>
      </c>
      <c r="B16" s="8" t="s">
        <v>124</v>
      </c>
      <c r="C16" s="8" t="s">
        <v>110</v>
      </c>
      <c r="D16" s="8">
        <v>63297</v>
      </c>
      <c r="E16" s="38">
        <v>45505</v>
      </c>
      <c r="F16" s="13" t="str">
        <f t="shared" si="0"/>
        <v>Employee</v>
      </c>
      <c r="G16" s="39" t="str">
        <f t="shared" si="1"/>
        <v>EMPLOYEE 15</v>
      </c>
      <c r="H16" s="13" t="str">
        <f t="shared" si="2"/>
        <v>employee 15</v>
      </c>
      <c r="I16" s="7"/>
      <c r="J16" s="7"/>
      <c r="K16" s="7"/>
      <c r="L16" s="7"/>
      <c r="M16" s="7"/>
      <c r="N16" s="7"/>
      <c r="O16" s="7"/>
      <c r="P16" s="7"/>
      <c r="Q16" s="7"/>
      <c r="R16" s="7"/>
      <c r="S16" s="7"/>
      <c r="T16" s="7"/>
      <c r="U16" s="7"/>
      <c r="V16" s="7"/>
      <c r="W16" s="7"/>
      <c r="X16" s="7"/>
      <c r="Y16" s="7"/>
    </row>
    <row r="17" spans="1:25" ht="14.4">
      <c r="A17" s="8">
        <v>3016</v>
      </c>
      <c r="B17" s="8" t="s">
        <v>125</v>
      </c>
      <c r="C17" s="8" t="s">
        <v>107</v>
      </c>
      <c r="D17" s="8">
        <v>114173</v>
      </c>
      <c r="E17" s="38">
        <v>45755</v>
      </c>
      <c r="F17" s="13" t="str">
        <f t="shared" si="0"/>
        <v>Employee</v>
      </c>
      <c r="G17" s="39" t="str">
        <f t="shared" si="1"/>
        <v>EMPLOYEE 16</v>
      </c>
      <c r="H17" s="13" t="str">
        <f t="shared" si="2"/>
        <v>employee 16</v>
      </c>
      <c r="I17" s="7"/>
      <c r="J17" s="7"/>
      <c r="K17" s="7"/>
      <c r="L17" s="7"/>
      <c r="M17" s="7"/>
      <c r="N17" s="7"/>
      <c r="O17" s="7"/>
      <c r="P17" s="7"/>
      <c r="Q17" s="7"/>
      <c r="R17" s="7"/>
      <c r="S17" s="7"/>
      <c r="T17" s="7"/>
      <c r="U17" s="7"/>
      <c r="V17" s="7"/>
      <c r="W17" s="7"/>
      <c r="X17" s="7"/>
      <c r="Y17" s="7"/>
    </row>
    <row r="18" spans="1:25" ht="14.4">
      <c r="A18" s="8">
        <v>3017</v>
      </c>
      <c r="B18" s="8" t="s">
        <v>126</v>
      </c>
      <c r="C18" s="8" t="s">
        <v>110</v>
      </c>
      <c r="D18" s="8">
        <v>86915</v>
      </c>
      <c r="E18" s="38">
        <v>46005</v>
      </c>
      <c r="F18" s="13" t="str">
        <f t="shared" si="0"/>
        <v>Employee</v>
      </c>
      <c r="G18" s="39" t="str">
        <f t="shared" si="1"/>
        <v>EMPLOYEE 17</v>
      </c>
      <c r="H18" s="13" t="str">
        <f t="shared" si="2"/>
        <v>employee 17</v>
      </c>
      <c r="I18" s="7"/>
      <c r="J18" s="7"/>
      <c r="K18" s="7"/>
      <c r="L18" s="7"/>
      <c r="M18" s="7"/>
      <c r="N18" s="7"/>
      <c r="O18" s="7"/>
      <c r="P18" s="7"/>
      <c r="Q18" s="7"/>
      <c r="R18" s="7"/>
      <c r="S18" s="7"/>
      <c r="T18" s="7"/>
      <c r="U18" s="7"/>
      <c r="V18" s="7"/>
      <c r="W18" s="7"/>
      <c r="X18" s="7"/>
      <c r="Y18" s="7"/>
    </row>
    <row r="19" spans="1:25" ht="14.4">
      <c r="A19" s="8">
        <v>3018</v>
      </c>
      <c r="B19" s="8" t="s">
        <v>127</v>
      </c>
      <c r="C19" s="8" t="s">
        <v>113</v>
      </c>
      <c r="D19" s="8">
        <v>116284</v>
      </c>
      <c r="E19" s="38">
        <v>46255</v>
      </c>
      <c r="F19" s="13" t="str">
        <f t="shared" si="0"/>
        <v>Employee</v>
      </c>
      <c r="G19" s="39" t="str">
        <f t="shared" si="1"/>
        <v>EMPLOYEE 18</v>
      </c>
      <c r="H19" s="13" t="str">
        <f t="shared" si="2"/>
        <v>employee 18</v>
      </c>
      <c r="I19" s="7"/>
      <c r="J19" s="7"/>
      <c r="K19" s="7"/>
      <c r="L19" s="7"/>
      <c r="M19" s="7"/>
      <c r="N19" s="7"/>
      <c r="O19" s="7"/>
      <c r="P19" s="7"/>
      <c r="Q19" s="7"/>
      <c r="R19" s="7"/>
      <c r="S19" s="7"/>
      <c r="T19" s="7"/>
      <c r="U19" s="7"/>
      <c r="V19" s="7"/>
      <c r="W19" s="7"/>
      <c r="X19" s="7"/>
      <c r="Y19" s="7"/>
    </row>
    <row r="20" spans="1:25" ht="14.4">
      <c r="A20" s="8">
        <v>3019</v>
      </c>
      <c r="B20" s="8" t="s">
        <v>128</v>
      </c>
      <c r="C20" s="8" t="s">
        <v>116</v>
      </c>
      <c r="D20" s="8">
        <v>116283</v>
      </c>
      <c r="E20" s="38">
        <v>46505</v>
      </c>
      <c r="F20" s="13" t="str">
        <f t="shared" si="0"/>
        <v>Employee</v>
      </c>
      <c r="G20" s="39" t="str">
        <f t="shared" si="1"/>
        <v>EMPLOYEE 19</v>
      </c>
      <c r="H20" s="13" t="str">
        <f t="shared" si="2"/>
        <v>employee 19</v>
      </c>
      <c r="I20" s="7"/>
      <c r="J20" s="7"/>
      <c r="K20" s="7"/>
      <c r="L20" s="7"/>
      <c r="M20" s="7"/>
      <c r="N20" s="7"/>
      <c r="O20" s="7"/>
      <c r="P20" s="7"/>
      <c r="Q20" s="7"/>
      <c r="R20" s="7"/>
      <c r="S20" s="7"/>
      <c r="T20" s="7"/>
      <c r="U20" s="7"/>
      <c r="V20" s="7"/>
      <c r="W20" s="7"/>
      <c r="X20" s="7"/>
      <c r="Y20" s="7"/>
    </row>
    <row r="21" spans="1:25" ht="15.75" customHeight="1">
      <c r="A21" s="8">
        <v>3020</v>
      </c>
      <c r="B21" s="8" t="s">
        <v>129</v>
      </c>
      <c r="C21" s="8" t="s">
        <v>116</v>
      </c>
      <c r="D21" s="8">
        <v>99924</v>
      </c>
      <c r="E21" s="38">
        <v>46755</v>
      </c>
      <c r="F21" s="13" t="str">
        <f t="shared" si="0"/>
        <v>Employee</v>
      </c>
      <c r="G21" s="39" t="str">
        <f t="shared" si="1"/>
        <v>EMPLOYEE 20</v>
      </c>
      <c r="H21" s="13" t="str">
        <f t="shared" si="2"/>
        <v>employee 20</v>
      </c>
      <c r="I21" s="7"/>
      <c r="J21" s="7"/>
      <c r="K21" s="7"/>
      <c r="L21" s="7"/>
      <c r="M21" s="7"/>
      <c r="N21" s="7"/>
      <c r="O21" s="7"/>
      <c r="P21" s="7"/>
      <c r="Q21" s="7"/>
      <c r="R21" s="7"/>
      <c r="S21" s="7"/>
      <c r="T21" s="7"/>
      <c r="U21" s="7"/>
      <c r="V21" s="7"/>
      <c r="W21" s="7"/>
      <c r="X21" s="7"/>
      <c r="Y21" s="7"/>
    </row>
    <row r="22" spans="1:25" ht="15.75" customHeight="1">
      <c r="A22" s="7"/>
      <c r="B22" s="7"/>
      <c r="C22" s="7"/>
      <c r="D22" s="7"/>
      <c r="E22" s="7"/>
      <c r="F22" s="7"/>
      <c r="G22" s="7"/>
      <c r="H22" s="7"/>
      <c r="I22" s="7"/>
      <c r="J22" s="7"/>
      <c r="K22" s="7"/>
      <c r="L22" s="7"/>
      <c r="M22" s="7"/>
      <c r="N22" s="7"/>
      <c r="O22" s="7"/>
      <c r="P22" s="7"/>
      <c r="Q22" s="7"/>
      <c r="R22" s="7"/>
      <c r="S22" s="7"/>
      <c r="T22" s="7"/>
      <c r="U22" s="7"/>
      <c r="V22" s="7"/>
      <c r="W22" s="7"/>
      <c r="X22" s="7"/>
      <c r="Y22" s="7"/>
    </row>
    <row r="23" spans="1:25"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spans="1:25" ht="15.75" customHeight="1">
      <c r="A24" s="7"/>
      <c r="B24" s="31" t="s">
        <v>153</v>
      </c>
      <c r="C24" s="31"/>
      <c r="D24" s="31"/>
      <c r="E24" s="31"/>
      <c r="F24" s="7"/>
      <c r="G24" s="7"/>
      <c r="H24" s="7"/>
      <c r="I24" s="7"/>
      <c r="J24" s="7"/>
      <c r="K24" s="7"/>
      <c r="L24" s="7"/>
      <c r="M24" s="7"/>
      <c r="N24" s="7"/>
      <c r="O24" s="7"/>
      <c r="P24" s="7"/>
      <c r="Q24" s="7"/>
      <c r="R24" s="7"/>
      <c r="S24" s="7"/>
      <c r="T24" s="7"/>
      <c r="U24" s="7"/>
      <c r="V24" s="7"/>
      <c r="W24" s="7"/>
      <c r="X24" s="7"/>
      <c r="Y24" s="7"/>
    </row>
    <row r="25" spans="1:25" ht="15.75" customHeight="1">
      <c r="A25" s="7"/>
      <c r="B25" s="15" t="s">
        <v>134</v>
      </c>
      <c r="C25" s="15" t="s">
        <v>42</v>
      </c>
      <c r="D25" s="15" t="s">
        <v>104</v>
      </c>
      <c r="E25" s="15" t="s">
        <v>105</v>
      </c>
      <c r="F25" s="7"/>
      <c r="G25" s="34"/>
      <c r="H25" s="34"/>
      <c r="I25" s="7"/>
      <c r="J25" s="7"/>
      <c r="K25" s="7"/>
      <c r="L25" s="7"/>
      <c r="M25" s="7"/>
      <c r="N25" s="7"/>
      <c r="O25" s="7"/>
      <c r="P25" s="7"/>
      <c r="Q25" s="7"/>
      <c r="R25" s="7"/>
      <c r="S25" s="7"/>
      <c r="T25" s="7"/>
      <c r="U25" s="7"/>
      <c r="V25" s="7"/>
      <c r="W25" s="7"/>
      <c r="X25" s="7"/>
      <c r="Y25" s="7"/>
    </row>
    <row r="26" spans="1:25" ht="15.75" customHeight="1">
      <c r="A26" s="7"/>
      <c r="B26" s="13">
        <v>3003</v>
      </c>
      <c r="C26" s="13" t="str">
        <f>_xlfn.XLOOKUP(B26, A2:A21,B2:B21)</f>
        <v>Employee 3</v>
      </c>
      <c r="D26" s="13">
        <f>_xlfn.XLOOKUP(B26,A2:A21,D2:D21)</f>
        <v>63374</v>
      </c>
      <c r="E26" s="37">
        <f>_xlfn.XLOOKUP(B26,A2:A21,E2:E21)</f>
        <v>42505</v>
      </c>
      <c r="F26" s="7"/>
      <c r="G26" s="7"/>
      <c r="H26" s="7"/>
      <c r="I26" s="7"/>
      <c r="J26" s="7"/>
      <c r="K26" s="7"/>
      <c r="L26" s="7"/>
      <c r="M26" s="7"/>
      <c r="N26" s="7"/>
      <c r="O26" s="7"/>
      <c r="P26" s="7"/>
      <c r="Q26" s="7"/>
      <c r="R26" s="7"/>
      <c r="S26" s="7"/>
      <c r="T26" s="7"/>
      <c r="U26" s="7"/>
      <c r="V26" s="7"/>
      <c r="W26" s="7"/>
      <c r="X26" s="7"/>
      <c r="Y26" s="7"/>
    </row>
    <row r="27" spans="1:25"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spans="1:25"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spans="1:25"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spans="1:25"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spans="1:25"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spans="1:25"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spans="1:25"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spans="1:25"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spans="1:2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spans="1:25"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spans="1:25"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spans="1:25"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spans="1:25"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spans="1:25"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spans="1:25"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spans="1:25"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spans="1:25"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spans="1:25"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spans="1:2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spans="1:25"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spans="1:25"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spans="1:25"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spans="1:25"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spans="1:25"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spans="1:25"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spans="1:25"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spans="1:25"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spans="1:25"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spans="1:2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spans="1:25"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spans="1:25"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spans="1:25"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spans="1:25"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spans="1:25"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spans="1:25"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spans="1:25"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spans="1:25"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spans="1:25"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spans="1:2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spans="1:25"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spans="1:25"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spans="1:25"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spans="1:25"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spans="1:25"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spans="1:25"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spans="1:25"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spans="1:25"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spans="1:25"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spans="1:2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spans="1:25"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spans="1:25"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spans="1:25"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spans="1:25"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spans="1:25"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spans="1:25"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spans="1:25"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spans="1:25"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spans="1:25"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spans="1:2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spans="1:25"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spans="1:25"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spans="1:25"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spans="1:25"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spans="1:25"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spans="1:25"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spans="1:25"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spans="1:25"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spans="1:25"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spans="1:2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spans="1:25"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spans="1:25"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spans="1:25"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spans="1:25"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spans="1:25"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spans="1:25"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spans="1:25"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spans="1:25"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spans="1:2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spans="1:25"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spans="1:25"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spans="1:25"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spans="1:25"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spans="1:25"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spans="1:25"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spans="1:25"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spans="1:25"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spans="1:2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spans="1:25"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spans="1:25"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spans="1:25"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spans="1:25"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spans="1:25"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spans="1:25"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spans="1:25"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spans="1:25"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spans="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spans="1:25"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spans="1:25"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spans="1:25"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spans="1:25"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spans="1:25"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spans="1:25"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spans="1:25"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spans="1:25"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spans="1:2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spans="1:25"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spans="1:25"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spans="1:25"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spans="1:25"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spans="1:25"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spans="1:25"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spans="1:25"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spans="1:25"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spans="1:2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spans="1:25"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spans="1:25"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spans="1:25"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spans="1:25"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spans="1:25"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spans="1:25"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spans="1:25"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spans="1:25"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spans="1:25"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spans="1:2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spans="1:25"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spans="1:25"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spans="1:25"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spans="1:25"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spans="1:25"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spans="1:25"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spans="1:25"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spans="1:25"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spans="1:25"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spans="1:2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spans="1:25"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spans="1:25"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spans="1:25"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spans="1:25"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spans="1:25"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spans="1:25"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spans="1:25"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spans="1:2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spans="1:25"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spans="1:25"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spans="1:25"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spans="1:25"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spans="1:25"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spans="1:25"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spans="1:25"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spans="1:25"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spans="1:25"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spans="1:2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spans="1:25"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spans="1:25"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spans="1:25"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spans="1:25"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spans="1:25"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spans="1:25"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spans="1:25"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spans="1:25"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spans="1:25"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spans="1:2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spans="1:25"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spans="1:25"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spans="1:25"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spans="1:25"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spans="1:25"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spans="1:25"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spans="1:25"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spans="1:25"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spans="1:25"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spans="1:2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spans="1:25"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spans="1:25"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spans="1:25"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spans="1:25"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spans="1:25"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spans="1:25"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spans="1:25"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spans="1:25"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spans="1:25"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spans="1:2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spans="1:25"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spans="1:25"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spans="1:25"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spans="1:25"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spans="1:25"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spans="1:25"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spans="1:25"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spans="1:25"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spans="1:25"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spans="1: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spans="1:25"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spans="1:25"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spans="1:25"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spans="1:25"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spans="1:25"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spans="1:25"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spans="1:25"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spans="1:25"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spans="1:25"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spans="1:2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spans="1:25"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spans="1:25"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spans="1:25"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spans="1:25"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spans="1:25"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spans="1:25"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spans="1:25"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spans="1:25"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spans="1:25"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spans="1:2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spans="1:25"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spans="1:25"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spans="1:25"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spans="1:25"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spans="1:25"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spans="1:25"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spans="1:25"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spans="1:25"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spans="1:25"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spans="1:2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spans="1:25"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spans="1:25"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spans="1:25"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spans="1:25"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spans="1:25"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spans="1:25"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spans="1:25"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spans="1:25"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spans="1:25"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spans="1:2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spans="1:25"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spans="1:25"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spans="1:25"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spans="1:25"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spans="1:25"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spans="1:25"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spans="1:25"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spans="1:25"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spans="1:25"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spans="1:2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spans="1:25"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spans="1:25"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spans="1:25"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spans="1:25"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spans="1:25"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spans="1:25"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spans="1:25"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spans="1:25"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spans="1:25"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spans="1:2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spans="1:25"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spans="1:25"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spans="1:25"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spans="1:25"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spans="1:25"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spans="1:25"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spans="1:25"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spans="1:25"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spans="1:25"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spans="1:2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spans="1:25"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spans="1:25"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spans="1:25"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spans="1:25"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spans="1:25"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spans="1:25"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spans="1:25"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spans="1:25"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spans="1:25"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spans="1:2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spans="1:25"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spans="1:25"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spans="1:25"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spans="1:25"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spans="1:25"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spans="1:25"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spans="1:25"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spans="1:25"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spans="1:2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spans="1:25"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spans="1:25"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spans="1:25"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spans="1:25"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spans="1:25"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spans="1:25"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spans="1:25"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spans="1:25"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spans="1:25"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spans="1: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spans="1:25"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spans="1:25"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spans="1:25"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spans="1:25"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spans="1:25"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spans="1:25"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spans="1:25"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spans="1:25"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spans="1:25"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spans="1:2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spans="1:25"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spans="1:25"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spans="1:25"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spans="1:25"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spans="1:25"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spans="1:25"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spans="1:25"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spans="1:25"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spans="1:25"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spans="1:2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spans="1:25"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spans="1:25"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spans="1:25"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spans="1:25"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spans="1:25"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spans="1:25"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spans="1:25"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spans="1:25"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spans="1:25"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spans="1:2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spans="1:25"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spans="1:25"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spans="1:25"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spans="1:25"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spans="1:25"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spans="1:25"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spans="1:25"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spans="1:25"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spans="1:25"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spans="1:2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spans="1:25"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spans="1:25"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spans="1:25"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spans="1:25"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spans="1:25"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spans="1:25"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spans="1:25"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spans="1:25"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spans="1:25"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spans="1:2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spans="1:25"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spans="1:25"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spans="1:25"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spans="1:25"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spans="1:25"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spans="1:25"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spans="1:25"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spans="1:25"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spans="1:25"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spans="1:2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spans="1:25"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spans="1:25"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spans="1:25"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spans="1:25"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spans="1:25"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spans="1:25"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spans="1:25"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spans="1:25"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spans="1:25"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spans="1:2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spans="1:25"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spans="1:25"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spans="1:25"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spans="1:25"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spans="1:25"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spans="1:25"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spans="1:25"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spans="1:25"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spans="1:25"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spans="1:2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spans="1:25"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spans="1:25"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spans="1:25"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spans="1:25"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spans="1:25"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spans="1:25"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spans="1:25"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spans="1:25"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spans="1:25"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spans="1:2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spans="1:25"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spans="1:25"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spans="1:25"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spans="1:25"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spans="1:25"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spans="1:25"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spans="1:25"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spans="1:25"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spans="1:25"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spans="1: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spans="1:25"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spans="1:25"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spans="1:25"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spans="1:25"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spans="1:25"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spans="1:25"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spans="1:25"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spans="1:25"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spans="1:25"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spans="1:2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spans="1:25"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spans="1:25"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spans="1:25"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spans="1:25"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spans="1:25"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spans="1:25"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spans="1:25"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spans="1:25"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spans="1:25"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spans="1:2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spans="1:25"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spans="1:25"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spans="1:25"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spans="1:25"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spans="1:25"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spans="1:25"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spans="1:25"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spans="1:25"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spans="1:25"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spans="1:2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spans="1:25"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spans="1:25"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spans="1:25"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spans="1:25"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spans="1:25"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spans="1:25"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spans="1:25"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spans="1:25"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spans="1:25"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spans="1:2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spans="1:25"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spans="1:25"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spans="1:25"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spans="1:25"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spans="1:25"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spans="1:25"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spans="1:25"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spans="1:25"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spans="1:25"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spans="1:2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spans="1:25"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spans="1:25"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spans="1:25"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spans="1:25"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spans="1:25"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spans="1:25"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spans="1:25"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spans="1:25"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spans="1:25"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spans="1:2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spans="1:25"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spans="1:25"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spans="1:25"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spans="1:25"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spans="1:25"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spans="1:25"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spans="1:25"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spans="1:25"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spans="1:25"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spans="1:2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spans="1:25"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spans="1:25"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spans="1:25"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spans="1:25"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spans="1:25"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spans="1:25"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spans="1:25"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spans="1:25"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spans="1:25"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spans="1:2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spans="1:25"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spans="1:25"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spans="1:25"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spans="1:25"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spans="1:25"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spans="1:25"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spans="1:25"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spans="1:25"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spans="1:25"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spans="1:2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spans="1:25"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spans="1:25"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spans="1:25"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spans="1:25"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spans="1:25"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spans="1:25"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spans="1:25"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spans="1:25"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spans="1:25"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spans="1: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spans="1:25"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spans="1:25"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spans="1:25"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spans="1:25"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spans="1:25"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spans="1:25"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spans="1:25"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spans="1:25"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spans="1:25"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spans="1:2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spans="1:25"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spans="1:25"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spans="1:25"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spans="1:25"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spans="1:25"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spans="1:25"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spans="1:25"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spans="1:25"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spans="1:25"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spans="1:2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spans="1:25"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spans="1:25"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spans="1:25"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spans="1:25"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spans="1:25"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spans="1:25"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spans="1:25"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spans="1:25"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spans="1:25"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spans="1:2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spans="1:25"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spans="1:25"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spans="1:25"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spans="1:25"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spans="1:25"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spans="1:25"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spans="1:25"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spans="1:25"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spans="1:25"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spans="1:2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spans="1:25"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spans="1:25"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spans="1:25"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spans="1:25"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spans="1:25"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spans="1:25"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spans="1:25"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spans="1:25"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spans="1:25"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spans="1:2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spans="1:25"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spans="1:25"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spans="1:25"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spans="1:25"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spans="1:25"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spans="1:25"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spans="1:25"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spans="1:25"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spans="1:25"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spans="1:2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spans="1:25"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spans="1:25"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spans="1:25"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spans="1:25"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spans="1:25"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spans="1:25"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spans="1:25"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spans="1:25"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spans="1:25"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spans="1:2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spans="1:25"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spans="1:25"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spans="1:25"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spans="1:25"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spans="1:25"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spans="1:25"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spans="1:25"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spans="1:25"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spans="1:25"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spans="1:2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spans="1:25"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spans="1:25"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spans="1:25"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spans="1:25"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spans="1:25"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spans="1:25"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spans="1:25"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spans="1:25"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spans="1:2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spans="1:25"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spans="1:25"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spans="1:25"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spans="1:25"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spans="1:25"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spans="1:25"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spans="1:25"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spans="1:25"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spans="1:25"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spans="1: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spans="1:25"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spans="1:25"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spans="1:25"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spans="1:25"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spans="1:25"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spans="1:25"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spans="1:25"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spans="1:25"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spans="1:25"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spans="1:2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spans="1:25"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spans="1:25"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spans="1:25"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spans="1:25"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spans="1:25"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spans="1:25"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spans="1:25"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spans="1:25"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spans="1:25"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spans="1:2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spans="1:25"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spans="1:25"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spans="1:25"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spans="1:25"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spans="1:25"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spans="1:25"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spans="1:25"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spans="1:25"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spans="1:25"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spans="1:2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spans="1:25"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spans="1:25"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spans="1:25"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spans="1:25"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spans="1:25"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spans="1:25"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spans="1:25"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spans="1:25"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spans="1:25"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spans="1:2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spans="1:25"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spans="1:25"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spans="1:25"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spans="1:25"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spans="1:25"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spans="1:25"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spans="1:25"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spans="1:25"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spans="1:25"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spans="1:2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spans="1:25"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spans="1:25"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spans="1:25"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spans="1:25"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spans="1:25"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spans="1:25"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spans="1:25"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spans="1:25"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spans="1:25"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spans="1:2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spans="1:25"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spans="1:25"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spans="1:25"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spans="1:25"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spans="1:25"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spans="1:25"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spans="1:25"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spans="1:25"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spans="1:25"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spans="1:2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spans="1:25"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spans="1:25"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spans="1:25"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spans="1:25"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spans="1:25"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spans="1:25"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spans="1:25"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spans="1:25"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spans="1:25"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spans="1:2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spans="1:25"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spans="1:25"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spans="1:25"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spans="1:25"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spans="1:25"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spans="1:25"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spans="1:25"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spans="1:25"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spans="1:25"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spans="1:2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spans="1:25"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spans="1:25"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spans="1:25"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spans="1:25"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spans="1:25"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spans="1:25"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spans="1:25"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spans="1:25"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spans="1:25"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spans="1: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spans="1:25"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spans="1:25"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spans="1:25"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spans="1:25"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spans="1:25"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spans="1:25"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spans="1:25"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spans="1:25"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spans="1:25"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spans="1:2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spans="1:25"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spans="1:25"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spans="1:25"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spans="1:25"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spans="1:25"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spans="1:25"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spans="1:25"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spans="1:25"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spans="1:25"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spans="1:2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spans="1:25"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spans="1:25"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spans="1:25"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spans="1:25"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spans="1:25"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spans="1:25"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spans="1:25"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spans="1:25"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spans="1:25"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spans="1:2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spans="1:25"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spans="1:25"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spans="1:25"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spans="1:25"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spans="1:25"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spans="1:25"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spans="1:25"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spans="1:25"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spans="1:25"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spans="1:2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spans="1:25"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spans="1:25"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spans="1:25"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spans="1:25"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spans="1:25"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spans="1:25"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spans="1:25"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spans="1:25"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spans="1:25"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spans="1:2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spans="1:25"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spans="1:25"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spans="1:25"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spans="1:25"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spans="1:25"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spans="1:25"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spans="1:25"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spans="1:25"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spans="1:25"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spans="1:2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spans="1:25"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spans="1:25"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spans="1:25"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spans="1:25"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spans="1:25"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spans="1:25"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spans="1:25"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spans="1:25"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spans="1:25"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spans="1:2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spans="1:25"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spans="1:25"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spans="1:25"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spans="1:25"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spans="1:25"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spans="1:25"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spans="1:25"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spans="1:25"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spans="1:25"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spans="1:2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spans="1:25"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spans="1:25"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spans="1:25"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spans="1:25"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spans="1:25"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spans="1:25"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spans="1:25"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spans="1:25"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spans="1:25"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spans="1:2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spans="1:25"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spans="1:25"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spans="1:25"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spans="1:25"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spans="1:25"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spans="1:25"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spans="1:25"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spans="1:25"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spans="1:25"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spans="1: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spans="1:25"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spans="1:25"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spans="1:25"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spans="1:25"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spans="1:25"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spans="1:25"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spans="1:25"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spans="1:25"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spans="1:25"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spans="1:2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spans="1:25"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spans="1:25"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spans="1:25"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spans="1:25"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spans="1:25"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spans="1:25"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spans="1:25"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spans="1:25"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spans="1:25"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spans="1:2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spans="1:25"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spans="1:25"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spans="1:25"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spans="1:25"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spans="1:25"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spans="1:25"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spans="1:25"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spans="1:25"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spans="1:25"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spans="1:2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spans="1:25"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spans="1:25"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spans="1:25"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spans="1:25"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spans="1:25"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spans="1:25"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spans="1:25"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spans="1:25"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spans="1:25"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spans="1:2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spans="1:25"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spans="1:25"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spans="1:25"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spans="1:25"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spans="1:25"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spans="1:25"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spans="1:25"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spans="1:25"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spans="1:25"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spans="1:2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spans="1:25"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spans="1:25"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spans="1:25"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spans="1:25"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spans="1:25"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spans="1:25"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spans="1:25"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spans="1:25"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spans="1:25"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spans="1:2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spans="1:25"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spans="1:25"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spans="1:25"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spans="1:25"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spans="1:25"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spans="1:25"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spans="1:25"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spans="1:25"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spans="1:25"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spans="1:2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spans="1:25"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spans="1:25"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spans="1:25"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spans="1:25"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spans="1:25"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spans="1:25"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spans="1:25"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spans="1:25"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spans="1:25"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spans="1:2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spans="1:25"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spans="1:25"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spans="1:25"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spans="1:25"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spans="1:25"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spans="1:25"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spans="1:25"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spans="1:25"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spans="1:25"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spans="1:2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spans="1:25"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spans="1:25"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spans="1:25"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spans="1:25"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spans="1:25"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spans="1:25"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spans="1:25"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spans="1:25"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spans="1:25"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spans="1: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spans="1:25"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spans="1:25"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spans="1:25"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spans="1:25"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spans="1:25"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spans="1:25"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spans="1:25"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spans="1:25"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spans="1:25"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spans="1:2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spans="1:25"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spans="1:25"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spans="1:25"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spans="1:25"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spans="1:25"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spans="1:25"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spans="1:25"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spans="1:25"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spans="1:25"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spans="1:2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spans="1:25"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spans="1:25"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spans="1:25"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spans="1:25"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spans="1:25"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spans="1:25"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spans="1:25"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spans="1:25"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spans="1:25"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spans="1:2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spans="1:25"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spans="1:25"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spans="1:25"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spans="1:25"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spans="1:25"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spans="1:25"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spans="1:25"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spans="1:25"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spans="1:25"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spans="1:2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spans="1:25"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spans="1:25"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spans="1:25"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spans="1:25"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spans="1:25"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spans="1:25"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spans="1:25"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spans="1:25"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spans="1:25"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spans="1:2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spans="1:25"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spans="1:25"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spans="1:25"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spans="1:25"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spans="1:25"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spans="1:25"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spans="1:25"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spans="1:25"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spans="1:25"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spans="1:2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spans="1:25"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spans="1:25"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spans="1:25"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spans="1:25"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spans="1:25"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spans="1:25"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spans="1:25"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spans="1:25"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spans="1:25"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spans="1:2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spans="1:25"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spans="1:25"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spans="1:25"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spans="1:25"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row r="1000" spans="1:25"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sheetData>
  <mergeCells count="1">
    <mergeCell ref="B24:E24"/>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DHRUV CHAUHAN</cp:lastModifiedBy>
  <dcterms:modified xsi:type="dcterms:W3CDTF">2026-02-17T09:17:33Z</dcterms:modified>
</cp:coreProperties>
</file>